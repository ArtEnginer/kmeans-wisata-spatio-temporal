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4"/>
  </bookViews>
  <sheets>
    <sheet name="0_Cover" sheetId="1" r:id="rId1"/>
    <sheet name="1_Dataset" sheetId="2" r:id="rId2"/>
    <sheet name="2_Normalisasi" sheetId="3" r:id="rId3"/>
    <sheet name="3_KMeans++_Init" sheetId="4" r:id="rId4"/>
    <sheet name="4_Iterasi_KMeans++" sheetId="5" r:id="rId5"/>
    <sheet name="5_Konvergensi" sheetId="6" r:id="rId6"/>
    <sheet name="6_Hasil_Klaster" sheetId="7" r:id="rId7"/>
    <sheet name="7_Evaluasi_Metrik" sheetId="8" r:id="rId8"/>
    <sheet name="8_Spatio_Temporal" sheetId="9" r:id="rId9"/>
  </sheet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" i="9" l="1"/>
  <c r="D28" i="9"/>
  <c r="F28" i="9" s="1"/>
  <c r="G28" i="9" s="1"/>
  <c r="H28" i="9" s="1"/>
  <c r="I28" i="9" s="1"/>
  <c r="J28" i="9" s="1"/>
  <c r="C28" i="9"/>
  <c r="B28" i="9"/>
  <c r="A28" i="9"/>
  <c r="E27" i="9"/>
  <c r="D27" i="9"/>
  <c r="F27" i="9" s="1"/>
  <c r="G27" i="9" s="1"/>
  <c r="H27" i="9" s="1"/>
  <c r="I27" i="9" s="1"/>
  <c r="J27" i="9" s="1"/>
  <c r="C27" i="9"/>
  <c r="B27" i="9"/>
  <c r="A27" i="9"/>
  <c r="F26" i="9"/>
  <c r="G26" i="9" s="1"/>
  <c r="H26" i="9" s="1"/>
  <c r="I26" i="9" s="1"/>
  <c r="J26" i="9" s="1"/>
  <c r="E26" i="9"/>
  <c r="D26" i="9"/>
  <c r="B26" i="9"/>
  <c r="A26" i="9"/>
  <c r="E25" i="9"/>
  <c r="D25" i="9"/>
  <c r="F25" i="9" s="1"/>
  <c r="G25" i="9" s="1"/>
  <c r="H25" i="9" s="1"/>
  <c r="I25" i="9" s="1"/>
  <c r="J25" i="9" s="1"/>
  <c r="B25" i="9"/>
  <c r="A25" i="9"/>
  <c r="F24" i="9"/>
  <c r="G24" i="9" s="1"/>
  <c r="H24" i="9" s="1"/>
  <c r="I24" i="9" s="1"/>
  <c r="J24" i="9" s="1"/>
  <c r="E24" i="9"/>
  <c r="D24" i="9"/>
  <c r="B24" i="9"/>
  <c r="A24" i="9"/>
  <c r="E23" i="9"/>
  <c r="D23" i="9"/>
  <c r="F23" i="9" s="1"/>
  <c r="G23" i="9" s="1"/>
  <c r="H23" i="9" s="1"/>
  <c r="I23" i="9" s="1"/>
  <c r="J23" i="9" s="1"/>
  <c r="B23" i="9"/>
  <c r="A23" i="9"/>
  <c r="F22" i="9"/>
  <c r="G22" i="9" s="1"/>
  <c r="H22" i="9" s="1"/>
  <c r="I22" i="9" s="1"/>
  <c r="J22" i="9" s="1"/>
  <c r="E22" i="9"/>
  <c r="D22" i="9"/>
  <c r="B22" i="9"/>
  <c r="A22" i="9"/>
  <c r="E21" i="9"/>
  <c r="D21" i="9"/>
  <c r="F21" i="9" s="1"/>
  <c r="G21" i="9" s="1"/>
  <c r="H21" i="9" s="1"/>
  <c r="I21" i="9" s="1"/>
  <c r="J21" i="9" s="1"/>
  <c r="B21" i="9"/>
  <c r="A21" i="9"/>
  <c r="F20" i="9"/>
  <c r="G20" i="9" s="1"/>
  <c r="H20" i="9" s="1"/>
  <c r="I20" i="9" s="1"/>
  <c r="J20" i="9" s="1"/>
  <c r="E20" i="9"/>
  <c r="D20" i="9"/>
  <c r="B20" i="9"/>
  <c r="A20" i="9"/>
  <c r="E19" i="9"/>
  <c r="D19" i="9"/>
  <c r="F19" i="9" s="1"/>
  <c r="G19" i="9" s="1"/>
  <c r="H19" i="9" s="1"/>
  <c r="I19" i="9" s="1"/>
  <c r="J19" i="9" s="1"/>
  <c r="B19" i="9"/>
  <c r="A19" i="9"/>
  <c r="F18" i="9"/>
  <c r="G18" i="9" s="1"/>
  <c r="H18" i="9" s="1"/>
  <c r="I18" i="9" s="1"/>
  <c r="J18" i="9" s="1"/>
  <c r="E18" i="9"/>
  <c r="D18" i="9"/>
  <c r="B18" i="9"/>
  <c r="A18" i="9"/>
  <c r="E17" i="9"/>
  <c r="D17" i="9"/>
  <c r="F17" i="9" s="1"/>
  <c r="G17" i="9" s="1"/>
  <c r="H17" i="9" s="1"/>
  <c r="I17" i="9" s="1"/>
  <c r="J17" i="9" s="1"/>
  <c r="B17" i="9"/>
  <c r="A17" i="9"/>
  <c r="F16" i="9"/>
  <c r="G16" i="9" s="1"/>
  <c r="H16" i="9" s="1"/>
  <c r="I16" i="9" s="1"/>
  <c r="J16" i="9" s="1"/>
  <c r="E16" i="9"/>
  <c r="D16" i="9"/>
  <c r="B16" i="9"/>
  <c r="A16" i="9"/>
  <c r="E15" i="9"/>
  <c r="D15" i="9"/>
  <c r="F15" i="9" s="1"/>
  <c r="G15" i="9" s="1"/>
  <c r="H15" i="9" s="1"/>
  <c r="I15" i="9" s="1"/>
  <c r="J15" i="9" s="1"/>
  <c r="B15" i="9"/>
  <c r="A15" i="9"/>
  <c r="F14" i="9"/>
  <c r="G14" i="9" s="1"/>
  <c r="H14" i="9" s="1"/>
  <c r="I14" i="9" s="1"/>
  <c r="J14" i="9" s="1"/>
  <c r="E14" i="9"/>
  <c r="D14" i="9"/>
  <c r="B14" i="9"/>
  <c r="A14" i="9"/>
  <c r="K8" i="9"/>
  <c r="K7" i="9"/>
  <c r="K6" i="9"/>
  <c r="C37" i="8"/>
  <c r="C36" i="8"/>
  <c r="H17" i="7"/>
  <c r="F17" i="7"/>
  <c r="E17" i="7"/>
  <c r="B17" i="7"/>
  <c r="A17" i="7"/>
  <c r="H16" i="7"/>
  <c r="F16" i="7"/>
  <c r="E16" i="7"/>
  <c r="B16" i="7"/>
  <c r="A16" i="7"/>
  <c r="H15" i="7"/>
  <c r="F15" i="7"/>
  <c r="E15" i="7"/>
  <c r="B15" i="7"/>
  <c r="A15" i="7"/>
  <c r="H14" i="7"/>
  <c r="F14" i="7"/>
  <c r="E14" i="7"/>
  <c r="B14" i="7"/>
  <c r="A14" i="7"/>
  <c r="H13" i="7"/>
  <c r="F13" i="7"/>
  <c r="E13" i="7"/>
  <c r="B13" i="7"/>
  <c r="A13" i="7"/>
  <c r="H12" i="7"/>
  <c r="F12" i="7"/>
  <c r="E12" i="7"/>
  <c r="B12" i="7"/>
  <c r="A12" i="7"/>
  <c r="H11" i="7"/>
  <c r="F11" i="7"/>
  <c r="E11" i="7"/>
  <c r="B11" i="7"/>
  <c r="A11" i="7"/>
  <c r="H10" i="7"/>
  <c r="F10" i="7"/>
  <c r="E10" i="7"/>
  <c r="B10" i="7"/>
  <c r="A10" i="7"/>
  <c r="H9" i="7"/>
  <c r="F9" i="7"/>
  <c r="E9" i="7"/>
  <c r="B9" i="7"/>
  <c r="A9" i="7"/>
  <c r="H8" i="7"/>
  <c r="F8" i="7"/>
  <c r="E8" i="7"/>
  <c r="B8" i="7"/>
  <c r="A8" i="7"/>
  <c r="H7" i="7"/>
  <c r="F7" i="7"/>
  <c r="E7" i="7"/>
  <c r="B7" i="7"/>
  <c r="A7" i="7"/>
  <c r="H6" i="7"/>
  <c r="F6" i="7"/>
  <c r="E6" i="7"/>
  <c r="B6" i="7"/>
  <c r="A6" i="7"/>
  <c r="H5" i="7"/>
  <c r="F5" i="7"/>
  <c r="E5" i="7"/>
  <c r="B5" i="7"/>
  <c r="A5" i="7"/>
  <c r="H4" i="7"/>
  <c r="F4" i="7"/>
  <c r="E4" i="7"/>
  <c r="B4" i="7"/>
  <c r="A4" i="7"/>
  <c r="H3" i="7"/>
  <c r="F3" i="7"/>
  <c r="E3" i="7"/>
  <c r="B3" i="7"/>
  <c r="A3" i="7"/>
  <c r="F7" i="6"/>
  <c r="F6" i="6"/>
  <c r="C97" i="5"/>
  <c r="C96" i="5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B24" i="4" s="1"/>
  <c r="A16" i="3"/>
  <c r="B15" i="3"/>
  <c r="A15" i="3"/>
  <c r="B14" i="3"/>
  <c r="B22" i="4" s="1"/>
  <c r="A14" i="3"/>
  <c r="B13" i="3"/>
  <c r="A13" i="3"/>
  <c r="B12" i="3"/>
  <c r="B20" i="4" s="1"/>
  <c r="A12" i="3"/>
  <c r="B11" i="3"/>
  <c r="A11" i="3"/>
  <c r="B10" i="3"/>
  <c r="B18" i="4" s="1"/>
  <c r="A10" i="3"/>
  <c r="B9" i="3"/>
  <c r="A9" i="3"/>
  <c r="B8" i="3"/>
  <c r="B16" i="4" s="1"/>
  <c r="A8" i="3"/>
  <c r="L5" i="3"/>
  <c r="L6" i="3" s="1"/>
  <c r="K5" i="3"/>
  <c r="K6" i="3" s="1"/>
  <c r="J5" i="3"/>
  <c r="I5" i="3"/>
  <c r="H5" i="3"/>
  <c r="H6" i="3" s="1"/>
  <c r="G5" i="3"/>
  <c r="G6" i="3" s="1"/>
  <c r="F5" i="3"/>
  <c r="E5" i="3"/>
  <c r="D5" i="3"/>
  <c r="D6" i="3" s="1"/>
  <c r="C5" i="3"/>
  <c r="C6" i="3" s="1"/>
  <c r="L4" i="3"/>
  <c r="K4" i="3"/>
  <c r="J4" i="3"/>
  <c r="J6" i="3" s="1"/>
  <c r="I4" i="3"/>
  <c r="I6" i="3" s="1"/>
  <c r="H4" i="3"/>
  <c r="G4" i="3"/>
  <c r="F4" i="3"/>
  <c r="F6" i="3" s="1"/>
  <c r="E4" i="3"/>
  <c r="E6" i="3" s="1"/>
  <c r="D4" i="3"/>
  <c r="C4" i="3"/>
  <c r="F22" i="3" l="1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A11" i="5"/>
  <c r="A39" i="5" s="1"/>
  <c r="A69" i="5" s="1"/>
  <c r="A41" i="4"/>
  <c r="A12" i="5"/>
  <c r="A40" i="5" s="1"/>
  <c r="A70" i="5" s="1"/>
  <c r="A42" i="4"/>
  <c r="A13" i="5"/>
  <c r="A41" i="5" s="1"/>
  <c r="A71" i="5" s="1"/>
  <c r="A43" i="4"/>
  <c r="A14" i="5"/>
  <c r="A42" i="5" s="1"/>
  <c r="A72" i="5" s="1"/>
  <c r="A44" i="4"/>
  <c r="A15" i="5"/>
  <c r="A43" i="5" s="1"/>
  <c r="A73" i="5" s="1"/>
  <c r="A45" i="4"/>
  <c r="A16" i="5"/>
  <c r="A44" i="5" s="1"/>
  <c r="A74" i="5" s="1"/>
  <c r="A46" i="4"/>
  <c r="A17" i="5"/>
  <c r="A45" i="5" s="1"/>
  <c r="A75" i="5" s="1"/>
  <c r="A47" i="4"/>
  <c r="A18" i="5"/>
  <c r="A46" i="5" s="1"/>
  <c r="A76" i="5" s="1"/>
  <c r="A48" i="4"/>
  <c r="A19" i="5"/>
  <c r="A47" i="5" s="1"/>
  <c r="A77" i="5" s="1"/>
  <c r="A49" i="4"/>
  <c r="A20" i="5"/>
  <c r="A48" i="5" s="1"/>
  <c r="A78" i="5" s="1"/>
  <c r="A50" i="4"/>
  <c r="A21" i="5"/>
  <c r="A49" i="5" s="1"/>
  <c r="A79" i="5" s="1"/>
  <c r="A51" i="4"/>
  <c r="A26" i="4"/>
  <c r="A22" i="5"/>
  <c r="A50" i="5" s="1"/>
  <c r="A80" i="5" s="1"/>
  <c r="A27" i="4"/>
  <c r="A52" i="4"/>
  <c r="A23" i="5"/>
  <c r="A51" i="5" s="1"/>
  <c r="A81" i="5" s="1"/>
  <c r="A53" i="4"/>
  <c r="A28" i="4"/>
  <c r="A24" i="5"/>
  <c r="A52" i="5" s="1"/>
  <c r="A82" i="5" s="1"/>
  <c r="A54" i="4"/>
  <c r="A29" i="4"/>
  <c r="A25" i="5"/>
  <c r="A53" i="5" s="1"/>
  <c r="A83" i="5" s="1"/>
  <c r="A55" i="4"/>
  <c r="A30" i="4"/>
  <c r="A17" i="4"/>
  <c r="A19" i="4"/>
  <c r="A21" i="4"/>
  <c r="A23" i="4"/>
  <c r="A25" i="4"/>
  <c r="B11" i="5"/>
  <c r="B39" i="5" s="1"/>
  <c r="B69" i="5" s="1"/>
  <c r="B41" i="4"/>
  <c r="B12" i="5"/>
  <c r="B40" i="5" s="1"/>
  <c r="B70" i="5" s="1"/>
  <c r="B42" i="4"/>
  <c r="B13" i="5"/>
  <c r="B41" i="5" s="1"/>
  <c r="B71" i="5" s="1"/>
  <c r="B43" i="4"/>
  <c r="B14" i="5"/>
  <c r="B42" i="5" s="1"/>
  <c r="B72" i="5" s="1"/>
  <c r="B44" i="4"/>
  <c r="B15" i="5"/>
  <c r="B43" i="5" s="1"/>
  <c r="B73" i="5" s="1"/>
  <c r="B45" i="4"/>
  <c r="B16" i="5"/>
  <c r="B44" i="5" s="1"/>
  <c r="B74" i="5" s="1"/>
  <c r="B46" i="4"/>
  <c r="B17" i="5"/>
  <c r="B45" i="5" s="1"/>
  <c r="B75" i="5" s="1"/>
  <c r="B47" i="4"/>
  <c r="B18" i="5"/>
  <c r="B46" i="5" s="1"/>
  <c r="B76" i="5" s="1"/>
  <c r="B48" i="4"/>
  <c r="B19" i="5"/>
  <c r="B47" i="5" s="1"/>
  <c r="B77" i="5" s="1"/>
  <c r="B49" i="4"/>
  <c r="B20" i="5"/>
  <c r="B48" i="5" s="1"/>
  <c r="B78" i="5" s="1"/>
  <c r="B50" i="4"/>
  <c r="B21" i="5"/>
  <c r="B49" i="5" s="1"/>
  <c r="B79" i="5" s="1"/>
  <c r="B51" i="4"/>
  <c r="B26" i="4"/>
  <c r="B22" i="5"/>
  <c r="B50" i="5" s="1"/>
  <c r="B80" i="5" s="1"/>
  <c r="B27" i="4"/>
  <c r="B52" i="4"/>
  <c r="B23" i="5"/>
  <c r="B51" i="5" s="1"/>
  <c r="B81" i="5" s="1"/>
  <c r="B28" i="4"/>
  <c r="B53" i="4"/>
  <c r="B24" i="5"/>
  <c r="B52" i="5" s="1"/>
  <c r="B82" i="5" s="1"/>
  <c r="B54" i="4"/>
  <c r="B29" i="4"/>
  <c r="B25" i="5"/>
  <c r="B53" i="5" s="1"/>
  <c r="B83" i="5" s="1"/>
  <c r="B55" i="4"/>
  <c r="B30" i="4"/>
  <c r="B17" i="4"/>
  <c r="B19" i="4"/>
  <c r="B21" i="4"/>
  <c r="B23" i="4"/>
  <c r="B25" i="4"/>
  <c r="A16" i="4"/>
  <c r="A18" i="4"/>
  <c r="A20" i="4"/>
  <c r="A22" i="4"/>
  <c r="A24" i="4"/>
  <c r="K13" i="5" l="1"/>
  <c r="K41" i="5" s="1"/>
  <c r="K43" i="4"/>
  <c r="K18" i="4"/>
  <c r="K17" i="5"/>
  <c r="K45" i="5" s="1"/>
  <c r="K47" i="4"/>
  <c r="K22" i="4"/>
  <c r="K21" i="5"/>
  <c r="K49" i="5" s="1"/>
  <c r="K51" i="4"/>
  <c r="K26" i="4"/>
  <c r="K25" i="5"/>
  <c r="K53" i="5" s="1"/>
  <c r="K55" i="4"/>
  <c r="K30" i="4"/>
  <c r="G14" i="5"/>
  <c r="G42" i="5" s="1"/>
  <c r="G44" i="4"/>
  <c r="G19" i="4"/>
  <c r="G18" i="5"/>
  <c r="G46" i="5" s="1"/>
  <c r="G48" i="4"/>
  <c r="G23" i="4"/>
  <c r="G22" i="5"/>
  <c r="G50" i="5" s="1"/>
  <c r="G52" i="4"/>
  <c r="G27" i="4"/>
  <c r="C39" i="8"/>
  <c r="C99" i="5"/>
  <c r="C11" i="5"/>
  <c r="C41" i="4"/>
  <c r="C16" i="4"/>
  <c r="B12" i="4"/>
  <c r="C5" i="5" s="1"/>
  <c r="C15" i="5"/>
  <c r="C45" i="4"/>
  <c r="C20" i="4"/>
  <c r="C19" i="5"/>
  <c r="C49" i="4"/>
  <c r="C24" i="4"/>
  <c r="C23" i="5"/>
  <c r="C28" i="4"/>
  <c r="C53" i="4"/>
  <c r="I12" i="5"/>
  <c r="I40" i="5" s="1"/>
  <c r="I42" i="4"/>
  <c r="I17" i="4"/>
  <c r="I16" i="5"/>
  <c r="I44" i="5" s="1"/>
  <c r="I46" i="4"/>
  <c r="I21" i="4"/>
  <c r="I20" i="5"/>
  <c r="I48" i="5" s="1"/>
  <c r="I50" i="4"/>
  <c r="I25" i="4"/>
  <c r="I24" i="5"/>
  <c r="I52" i="5" s="1"/>
  <c r="I54" i="4"/>
  <c r="I29" i="4"/>
  <c r="E13" i="5"/>
  <c r="E41" i="5" s="1"/>
  <c r="E43" i="4"/>
  <c r="E18" i="4"/>
  <c r="E17" i="5"/>
  <c r="E45" i="5" s="1"/>
  <c r="E47" i="4"/>
  <c r="E22" i="4"/>
  <c r="E21" i="5"/>
  <c r="E49" i="5" s="1"/>
  <c r="E51" i="4"/>
  <c r="E26" i="4"/>
  <c r="E25" i="5"/>
  <c r="E53" i="5" s="1"/>
  <c r="E55" i="4"/>
  <c r="E30" i="4"/>
  <c r="L14" i="5"/>
  <c r="L42" i="5" s="1"/>
  <c r="L44" i="4"/>
  <c r="L19" i="4"/>
  <c r="L18" i="5"/>
  <c r="L46" i="5" s="1"/>
  <c r="L48" i="4"/>
  <c r="L23" i="4"/>
  <c r="L22" i="5"/>
  <c r="L50" i="5" s="1"/>
  <c r="L52" i="4"/>
  <c r="L27" i="4"/>
  <c r="C104" i="5"/>
  <c r="H11" i="5"/>
  <c r="H39" i="5" s="1"/>
  <c r="H41" i="4"/>
  <c r="H16" i="4"/>
  <c r="G12" i="4"/>
  <c r="H5" i="5" s="1"/>
  <c r="H15" i="5"/>
  <c r="H43" i="5" s="1"/>
  <c r="H45" i="4"/>
  <c r="H20" i="4"/>
  <c r="H19" i="5"/>
  <c r="H47" i="5" s="1"/>
  <c r="H49" i="4"/>
  <c r="H24" i="4"/>
  <c r="H23" i="5"/>
  <c r="H51" i="5" s="1"/>
  <c r="H28" i="4"/>
  <c r="H53" i="4"/>
  <c r="D12" i="5"/>
  <c r="D40" i="5" s="1"/>
  <c r="D42" i="4"/>
  <c r="D17" i="4"/>
  <c r="D16" i="5"/>
  <c r="D44" i="5" s="1"/>
  <c r="D46" i="4"/>
  <c r="D21" i="4"/>
  <c r="D20" i="5"/>
  <c r="D48" i="5" s="1"/>
  <c r="D50" i="4"/>
  <c r="D25" i="4"/>
  <c r="D24" i="5"/>
  <c r="D52" i="5" s="1"/>
  <c r="D54" i="4"/>
  <c r="D29" i="4"/>
  <c r="J13" i="5"/>
  <c r="J41" i="5" s="1"/>
  <c r="J43" i="4"/>
  <c r="J18" i="4"/>
  <c r="J17" i="5"/>
  <c r="J45" i="5" s="1"/>
  <c r="J47" i="4"/>
  <c r="J22" i="4"/>
  <c r="J21" i="5"/>
  <c r="J49" i="5" s="1"/>
  <c r="J51" i="4"/>
  <c r="J26" i="4"/>
  <c r="J25" i="5"/>
  <c r="J53" i="5" s="1"/>
  <c r="J55" i="4"/>
  <c r="J30" i="4"/>
  <c r="F14" i="5"/>
  <c r="F42" i="5" s="1"/>
  <c r="F44" i="4"/>
  <c r="F19" i="4"/>
  <c r="F18" i="5"/>
  <c r="F46" i="5" s="1"/>
  <c r="F48" i="4"/>
  <c r="F23" i="4"/>
  <c r="F22" i="5"/>
  <c r="F50" i="5" s="1"/>
  <c r="F27" i="4"/>
  <c r="F52" i="4"/>
  <c r="K14" i="5"/>
  <c r="K42" i="5" s="1"/>
  <c r="K44" i="4"/>
  <c r="K19" i="4"/>
  <c r="K18" i="5"/>
  <c r="K46" i="5" s="1"/>
  <c r="K48" i="4"/>
  <c r="K23" i="4"/>
  <c r="K22" i="5"/>
  <c r="K50" i="5" s="1"/>
  <c r="K52" i="4"/>
  <c r="K27" i="4"/>
  <c r="C103" i="5"/>
  <c r="G11" i="5"/>
  <c r="G39" i="5" s="1"/>
  <c r="G41" i="4"/>
  <c r="G16" i="4"/>
  <c r="F12" i="4"/>
  <c r="G5" i="5" s="1"/>
  <c r="G15" i="5"/>
  <c r="G43" i="5" s="1"/>
  <c r="G45" i="4"/>
  <c r="G20" i="4"/>
  <c r="G19" i="5"/>
  <c r="G47" i="5" s="1"/>
  <c r="G49" i="4"/>
  <c r="G24" i="4"/>
  <c r="G23" i="5"/>
  <c r="G51" i="5" s="1"/>
  <c r="G28" i="4"/>
  <c r="G53" i="4"/>
  <c r="C12" i="5"/>
  <c r="C42" i="4"/>
  <c r="C17" i="4"/>
  <c r="C16" i="5"/>
  <c r="C46" i="4"/>
  <c r="C21" i="4"/>
  <c r="C20" i="5"/>
  <c r="C50" i="4"/>
  <c r="C25" i="4"/>
  <c r="C24" i="5"/>
  <c r="C54" i="4"/>
  <c r="C29" i="4"/>
  <c r="I13" i="5"/>
  <c r="I41" i="5" s="1"/>
  <c r="I43" i="4"/>
  <c r="I18" i="4"/>
  <c r="I17" i="5"/>
  <c r="I45" i="5" s="1"/>
  <c r="I47" i="4"/>
  <c r="I22" i="4"/>
  <c r="I21" i="5"/>
  <c r="I49" i="5" s="1"/>
  <c r="I51" i="4"/>
  <c r="I26" i="4"/>
  <c r="I25" i="5"/>
  <c r="I53" i="5" s="1"/>
  <c r="I55" i="4"/>
  <c r="I30" i="4"/>
  <c r="E14" i="5"/>
  <c r="E42" i="5" s="1"/>
  <c r="E44" i="4"/>
  <c r="E19" i="4"/>
  <c r="E18" i="5"/>
  <c r="E46" i="5" s="1"/>
  <c r="E48" i="4"/>
  <c r="E23" i="4"/>
  <c r="E22" i="5"/>
  <c r="E50" i="5" s="1"/>
  <c r="E27" i="4"/>
  <c r="E52" i="4"/>
  <c r="C108" i="5"/>
  <c r="L11" i="5"/>
  <c r="L39" i="5" s="1"/>
  <c r="L41" i="4"/>
  <c r="L16" i="4"/>
  <c r="K12" i="4"/>
  <c r="L5" i="5" s="1"/>
  <c r="L15" i="5"/>
  <c r="L43" i="5" s="1"/>
  <c r="L45" i="4"/>
  <c r="L20" i="4"/>
  <c r="L19" i="5"/>
  <c r="L47" i="5" s="1"/>
  <c r="L49" i="4"/>
  <c r="L24" i="4"/>
  <c r="L23" i="5"/>
  <c r="L51" i="5" s="1"/>
  <c r="L28" i="4"/>
  <c r="L53" i="4"/>
  <c r="H12" i="5"/>
  <c r="H40" i="5" s="1"/>
  <c r="H42" i="4"/>
  <c r="H17" i="4"/>
  <c r="H16" i="5"/>
  <c r="H44" i="5" s="1"/>
  <c r="H46" i="4"/>
  <c r="H21" i="4"/>
  <c r="H20" i="5"/>
  <c r="H48" i="5" s="1"/>
  <c r="H50" i="4"/>
  <c r="H25" i="4"/>
  <c r="H24" i="5"/>
  <c r="H52" i="5" s="1"/>
  <c r="H54" i="4"/>
  <c r="H29" i="4"/>
  <c r="D13" i="5"/>
  <c r="D41" i="5" s="1"/>
  <c r="D43" i="4"/>
  <c r="D18" i="4"/>
  <c r="D17" i="5"/>
  <c r="D45" i="5" s="1"/>
  <c r="D47" i="4"/>
  <c r="D22" i="4"/>
  <c r="D21" i="5"/>
  <c r="D49" i="5" s="1"/>
  <c r="D26" i="4"/>
  <c r="D51" i="4"/>
  <c r="D25" i="5"/>
  <c r="D53" i="5" s="1"/>
  <c r="D30" i="4"/>
  <c r="D55" i="4"/>
  <c r="J14" i="5"/>
  <c r="J42" i="5" s="1"/>
  <c r="J44" i="4"/>
  <c r="J19" i="4"/>
  <c r="J18" i="5"/>
  <c r="J46" i="5" s="1"/>
  <c r="J48" i="4"/>
  <c r="J23" i="4"/>
  <c r="J22" i="5"/>
  <c r="J50" i="5" s="1"/>
  <c r="J27" i="4"/>
  <c r="J52" i="4"/>
  <c r="C42" i="8"/>
  <c r="C102" i="5"/>
  <c r="F11" i="5"/>
  <c r="F39" i="5" s="1"/>
  <c r="F41" i="4"/>
  <c r="F16" i="4"/>
  <c r="E12" i="4"/>
  <c r="F5" i="5" s="1"/>
  <c r="F15" i="5"/>
  <c r="F43" i="5" s="1"/>
  <c r="F45" i="4"/>
  <c r="F20" i="4"/>
  <c r="F19" i="5"/>
  <c r="F47" i="5" s="1"/>
  <c r="F49" i="4"/>
  <c r="F24" i="4"/>
  <c r="F23" i="5"/>
  <c r="F51" i="5" s="1"/>
  <c r="F28" i="4"/>
  <c r="F53" i="4"/>
  <c r="C107" i="5"/>
  <c r="K11" i="5"/>
  <c r="K39" i="5" s="1"/>
  <c r="K41" i="4"/>
  <c r="K16" i="4"/>
  <c r="J12" i="4"/>
  <c r="K5" i="5" s="1"/>
  <c r="K15" i="5"/>
  <c r="K43" i="5" s="1"/>
  <c r="K45" i="4"/>
  <c r="K20" i="4"/>
  <c r="K19" i="5"/>
  <c r="K47" i="5" s="1"/>
  <c r="K49" i="4"/>
  <c r="K24" i="4"/>
  <c r="K23" i="5"/>
  <c r="K51" i="5" s="1"/>
  <c r="K28" i="4"/>
  <c r="K53" i="4"/>
  <c r="G12" i="5"/>
  <c r="G40" i="5" s="1"/>
  <c r="G42" i="4"/>
  <c r="G17" i="4"/>
  <c r="G16" i="5"/>
  <c r="G44" i="5" s="1"/>
  <c r="G46" i="4"/>
  <c r="G21" i="4"/>
  <c r="G20" i="5"/>
  <c r="G48" i="5" s="1"/>
  <c r="G50" i="4"/>
  <c r="G25" i="4"/>
  <c r="G24" i="5"/>
  <c r="G52" i="5" s="1"/>
  <c r="G54" i="4"/>
  <c r="G29" i="4"/>
  <c r="C13" i="5"/>
  <c r="C43" i="4"/>
  <c r="C18" i="4"/>
  <c r="C17" i="5"/>
  <c r="C47" i="4"/>
  <c r="C22" i="4"/>
  <c r="C21" i="5"/>
  <c r="C51" i="4"/>
  <c r="C26" i="4"/>
  <c r="C25" i="5"/>
  <c r="C55" i="4"/>
  <c r="C30" i="4"/>
  <c r="I14" i="5"/>
  <c r="I42" i="5" s="1"/>
  <c r="I44" i="4"/>
  <c r="I19" i="4"/>
  <c r="I18" i="5"/>
  <c r="I46" i="5" s="1"/>
  <c r="I48" i="4"/>
  <c r="I23" i="4"/>
  <c r="I22" i="5"/>
  <c r="I50" i="5" s="1"/>
  <c r="I27" i="4"/>
  <c r="I52" i="4"/>
  <c r="C41" i="8"/>
  <c r="C101" i="5"/>
  <c r="E11" i="5"/>
  <c r="E39" i="5" s="1"/>
  <c r="E41" i="4"/>
  <c r="E16" i="4"/>
  <c r="D12" i="4"/>
  <c r="E5" i="5" s="1"/>
  <c r="E15" i="5"/>
  <c r="E43" i="5" s="1"/>
  <c r="E45" i="4"/>
  <c r="E20" i="4"/>
  <c r="E19" i="5"/>
  <c r="E47" i="5" s="1"/>
  <c r="E49" i="4"/>
  <c r="E24" i="4"/>
  <c r="E23" i="5"/>
  <c r="E51" i="5" s="1"/>
  <c r="E53" i="4"/>
  <c r="E28" i="4"/>
  <c r="L12" i="5"/>
  <c r="L40" i="5" s="1"/>
  <c r="L42" i="4"/>
  <c r="L17" i="4"/>
  <c r="L16" i="5"/>
  <c r="L44" i="5" s="1"/>
  <c r="L46" i="4"/>
  <c r="L21" i="4"/>
  <c r="L20" i="5"/>
  <c r="L48" i="5" s="1"/>
  <c r="L50" i="4"/>
  <c r="L25" i="4"/>
  <c r="L24" i="5"/>
  <c r="L52" i="5" s="1"/>
  <c r="L54" i="4"/>
  <c r="L29" i="4"/>
  <c r="H13" i="5"/>
  <c r="H41" i="5" s="1"/>
  <c r="H43" i="4"/>
  <c r="H18" i="4"/>
  <c r="H17" i="5"/>
  <c r="H45" i="5" s="1"/>
  <c r="H47" i="4"/>
  <c r="H22" i="4"/>
  <c r="H21" i="5"/>
  <c r="H49" i="5" s="1"/>
  <c r="H26" i="4"/>
  <c r="H51" i="4"/>
  <c r="H25" i="5"/>
  <c r="H53" i="5" s="1"/>
  <c r="H30" i="4"/>
  <c r="H55" i="4"/>
  <c r="D14" i="5"/>
  <c r="D42" i="5" s="1"/>
  <c r="D44" i="4"/>
  <c r="D19" i="4"/>
  <c r="D18" i="5"/>
  <c r="D46" i="5" s="1"/>
  <c r="D48" i="4"/>
  <c r="D23" i="4"/>
  <c r="D22" i="5"/>
  <c r="D50" i="5" s="1"/>
  <c r="D52" i="4"/>
  <c r="D27" i="4"/>
  <c r="C106" i="5"/>
  <c r="J11" i="5"/>
  <c r="J39" i="5" s="1"/>
  <c r="J41" i="4"/>
  <c r="J16" i="4"/>
  <c r="I12" i="4"/>
  <c r="J5" i="5" s="1"/>
  <c r="J15" i="5"/>
  <c r="J43" i="5" s="1"/>
  <c r="J45" i="4"/>
  <c r="J20" i="4"/>
  <c r="J19" i="5"/>
  <c r="J47" i="5" s="1"/>
  <c r="J49" i="4"/>
  <c r="J24" i="4"/>
  <c r="J23" i="5"/>
  <c r="J51" i="5" s="1"/>
  <c r="J28" i="4"/>
  <c r="J53" i="4"/>
  <c r="F12" i="5"/>
  <c r="F40" i="5" s="1"/>
  <c r="F42" i="4"/>
  <c r="F17" i="4"/>
  <c r="F16" i="5"/>
  <c r="F44" i="5" s="1"/>
  <c r="F46" i="4"/>
  <c r="F21" i="4"/>
  <c r="F20" i="5"/>
  <c r="F48" i="5" s="1"/>
  <c r="F50" i="4"/>
  <c r="F25" i="4"/>
  <c r="F24" i="5"/>
  <c r="F52" i="5" s="1"/>
  <c r="F54" i="4"/>
  <c r="F29" i="4"/>
  <c r="K12" i="5"/>
  <c r="K40" i="5" s="1"/>
  <c r="K42" i="4"/>
  <c r="K17" i="4"/>
  <c r="K16" i="5"/>
  <c r="K44" i="5" s="1"/>
  <c r="K46" i="4"/>
  <c r="K21" i="4"/>
  <c r="K20" i="5"/>
  <c r="K48" i="5" s="1"/>
  <c r="K50" i="4"/>
  <c r="K25" i="4"/>
  <c r="K24" i="5"/>
  <c r="K52" i="5" s="1"/>
  <c r="K54" i="4"/>
  <c r="K29" i="4"/>
  <c r="G13" i="5"/>
  <c r="G41" i="5" s="1"/>
  <c r="G43" i="4"/>
  <c r="G18" i="4"/>
  <c r="G17" i="5"/>
  <c r="G45" i="5" s="1"/>
  <c r="G47" i="4"/>
  <c r="G22" i="4"/>
  <c r="G21" i="5"/>
  <c r="G49" i="5" s="1"/>
  <c r="G51" i="4"/>
  <c r="G26" i="4"/>
  <c r="G25" i="5"/>
  <c r="G53" i="5" s="1"/>
  <c r="G55" i="4"/>
  <c r="G30" i="4"/>
  <c r="C14" i="5"/>
  <c r="C44" i="4"/>
  <c r="C19" i="4"/>
  <c r="M19" i="4" s="1"/>
  <c r="C18" i="5"/>
  <c r="C48" i="4"/>
  <c r="C23" i="4"/>
  <c r="C22" i="5"/>
  <c r="C52" i="4"/>
  <c r="C27" i="4"/>
  <c r="C105" i="5"/>
  <c r="I11" i="5"/>
  <c r="I39" i="5" s="1"/>
  <c r="I41" i="4"/>
  <c r="I16" i="4"/>
  <c r="H12" i="4"/>
  <c r="I5" i="5" s="1"/>
  <c r="I15" i="5"/>
  <c r="I43" i="5" s="1"/>
  <c r="I45" i="4"/>
  <c r="I20" i="4"/>
  <c r="I19" i="5"/>
  <c r="I47" i="5" s="1"/>
  <c r="I49" i="4"/>
  <c r="I24" i="4"/>
  <c r="I23" i="5"/>
  <c r="I51" i="5" s="1"/>
  <c r="I53" i="4"/>
  <c r="I28" i="4"/>
  <c r="E12" i="5"/>
  <c r="E40" i="5" s="1"/>
  <c r="E42" i="4"/>
  <c r="E17" i="4"/>
  <c r="E16" i="5"/>
  <c r="E44" i="5" s="1"/>
  <c r="E46" i="4"/>
  <c r="E21" i="4"/>
  <c r="E20" i="5"/>
  <c r="E48" i="5" s="1"/>
  <c r="E50" i="4"/>
  <c r="E25" i="4"/>
  <c r="E24" i="5"/>
  <c r="E52" i="5" s="1"/>
  <c r="E54" i="4"/>
  <c r="E29" i="4"/>
  <c r="L13" i="5"/>
  <c r="L41" i="5" s="1"/>
  <c r="L43" i="4"/>
  <c r="L18" i="4"/>
  <c r="L17" i="5"/>
  <c r="L45" i="5" s="1"/>
  <c r="L47" i="4"/>
  <c r="L22" i="4"/>
  <c r="L21" i="5"/>
  <c r="L49" i="5" s="1"/>
  <c r="L26" i="4"/>
  <c r="L51" i="4"/>
  <c r="L25" i="5"/>
  <c r="L53" i="5" s="1"/>
  <c r="L30" i="4"/>
  <c r="L55" i="4"/>
  <c r="H14" i="5"/>
  <c r="H42" i="5" s="1"/>
  <c r="H44" i="4"/>
  <c r="H19" i="4"/>
  <c r="H18" i="5"/>
  <c r="H46" i="5" s="1"/>
  <c r="H48" i="4"/>
  <c r="H23" i="4"/>
  <c r="H22" i="5"/>
  <c r="H50" i="5" s="1"/>
  <c r="H52" i="4"/>
  <c r="H27" i="4"/>
  <c r="C40" i="8"/>
  <c r="C100" i="5"/>
  <c r="D11" i="5"/>
  <c r="D39" i="5" s="1"/>
  <c r="D41" i="4"/>
  <c r="D16" i="4"/>
  <c r="C12" i="4"/>
  <c r="D5" i="5" s="1"/>
  <c r="D15" i="5"/>
  <c r="D43" i="5" s="1"/>
  <c r="D45" i="4"/>
  <c r="D20" i="4"/>
  <c r="D19" i="5"/>
  <c r="D47" i="5" s="1"/>
  <c r="D49" i="4"/>
  <c r="D24" i="4"/>
  <c r="D23" i="5"/>
  <c r="D51" i="5" s="1"/>
  <c r="D28" i="4"/>
  <c r="D53" i="4"/>
  <c r="J12" i="5"/>
  <c r="J40" i="5" s="1"/>
  <c r="J42" i="4"/>
  <c r="J17" i="4"/>
  <c r="J16" i="5"/>
  <c r="J44" i="5" s="1"/>
  <c r="J46" i="4"/>
  <c r="J21" i="4"/>
  <c r="J20" i="5"/>
  <c r="J48" i="5" s="1"/>
  <c r="J50" i="4"/>
  <c r="J25" i="4"/>
  <c r="J24" i="5"/>
  <c r="J52" i="5" s="1"/>
  <c r="J54" i="4"/>
  <c r="J29" i="4"/>
  <c r="F13" i="5"/>
  <c r="F41" i="5" s="1"/>
  <c r="F43" i="4"/>
  <c r="F18" i="4"/>
  <c r="F17" i="5"/>
  <c r="F45" i="5" s="1"/>
  <c r="F47" i="4"/>
  <c r="F22" i="4"/>
  <c r="F21" i="5"/>
  <c r="F49" i="5" s="1"/>
  <c r="F51" i="4"/>
  <c r="F26" i="4"/>
  <c r="F25" i="5"/>
  <c r="F53" i="5" s="1"/>
  <c r="F55" i="4"/>
  <c r="F30" i="4"/>
  <c r="M27" i="4" l="1"/>
  <c r="C42" i="5"/>
  <c r="M14" i="5"/>
  <c r="M30" i="4"/>
  <c r="C45" i="5"/>
  <c r="M17" i="5"/>
  <c r="M25" i="4"/>
  <c r="M12" i="5"/>
  <c r="C40" i="5"/>
  <c r="C43" i="5"/>
  <c r="M15" i="5"/>
  <c r="C39" i="5"/>
  <c r="M11" i="5"/>
  <c r="C46" i="5"/>
  <c r="M18" i="5"/>
  <c r="C49" i="5"/>
  <c r="M21" i="5"/>
  <c r="M18" i="4"/>
  <c r="M29" i="4"/>
  <c r="C44" i="5"/>
  <c r="M16" i="5"/>
  <c r="M28" i="4"/>
  <c r="C47" i="5"/>
  <c r="M19" i="5"/>
  <c r="C50" i="5"/>
  <c r="M22" i="5"/>
  <c r="C53" i="5"/>
  <c r="M25" i="5"/>
  <c r="M22" i="4"/>
  <c r="C48" i="5"/>
  <c r="M20" i="5"/>
  <c r="M17" i="4"/>
  <c r="C51" i="5"/>
  <c r="M23" i="5"/>
  <c r="M20" i="4"/>
  <c r="M16" i="4"/>
  <c r="M23" i="4"/>
  <c r="M26" i="4"/>
  <c r="M13" i="5"/>
  <c r="C41" i="5"/>
  <c r="C52" i="5"/>
  <c r="M24" i="5"/>
  <c r="M21" i="4"/>
  <c r="M24" i="4"/>
  <c r="H37" i="4" l="1"/>
  <c r="I6" i="5" s="1"/>
  <c r="D37" i="4"/>
  <c r="E6" i="5" s="1"/>
  <c r="C34" i="4"/>
  <c r="K37" i="4"/>
  <c r="L6" i="5" s="1"/>
  <c r="G37" i="4"/>
  <c r="H6" i="5" s="1"/>
  <c r="C37" i="4"/>
  <c r="D6" i="5" s="1"/>
  <c r="M31" i="4"/>
  <c r="J37" i="4"/>
  <c r="K6" i="5" s="1"/>
  <c r="F37" i="4"/>
  <c r="G6" i="5" s="1"/>
  <c r="B37" i="4"/>
  <c r="I37" i="4"/>
  <c r="J6" i="5" s="1"/>
  <c r="E37" i="4"/>
  <c r="F6" i="5" s="1"/>
  <c r="C35" i="4"/>
  <c r="N16" i="4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C6" i="5" l="1"/>
  <c r="M52" i="4"/>
  <c r="N52" i="4" s="1"/>
  <c r="M50" i="4"/>
  <c r="N50" i="4" s="1"/>
  <c r="M48" i="4"/>
  <c r="N48" i="4" s="1"/>
  <c r="M46" i="4"/>
  <c r="N46" i="4" s="1"/>
  <c r="M55" i="4"/>
  <c r="N55" i="4" s="1"/>
  <c r="M43" i="4"/>
  <c r="N43" i="4" s="1"/>
  <c r="M47" i="4"/>
  <c r="N47" i="4" s="1"/>
  <c r="M45" i="4"/>
  <c r="N45" i="4" s="1"/>
  <c r="M53" i="4"/>
  <c r="N53" i="4" s="1"/>
  <c r="M54" i="4"/>
  <c r="N54" i="4" s="1"/>
  <c r="M41" i="4"/>
  <c r="N41" i="4" s="1"/>
  <c r="M51" i="4"/>
  <c r="N51" i="4" s="1"/>
  <c r="M49" i="4"/>
  <c r="N49" i="4" s="1"/>
  <c r="M44" i="4"/>
  <c r="N44" i="4" s="1"/>
  <c r="M42" i="4"/>
  <c r="N42" i="4" s="1"/>
  <c r="K59" i="4" l="1"/>
  <c r="L7" i="5" s="1"/>
  <c r="G59" i="4"/>
  <c r="H7" i="5" s="1"/>
  <c r="C59" i="4"/>
  <c r="D7" i="5" s="1"/>
  <c r="J59" i="4"/>
  <c r="K7" i="5" s="1"/>
  <c r="F59" i="4"/>
  <c r="G7" i="5" s="1"/>
  <c r="B59" i="4"/>
  <c r="C7" i="5" s="1"/>
  <c r="I59" i="4"/>
  <c r="J7" i="5" s="1"/>
  <c r="E59" i="4"/>
  <c r="F7" i="5" s="1"/>
  <c r="C57" i="4"/>
  <c r="O41" i="4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H59" i="4"/>
  <c r="I7" i="5" s="1"/>
  <c r="D59" i="4"/>
  <c r="E7" i="5" s="1"/>
  <c r="C56" i="4"/>
  <c r="N14" i="5"/>
  <c r="N19" i="5"/>
  <c r="N20" i="5"/>
  <c r="N21" i="5"/>
  <c r="N22" i="5"/>
  <c r="N13" i="5"/>
  <c r="N12" i="5"/>
  <c r="N15" i="5"/>
  <c r="N11" i="5"/>
  <c r="N16" i="5"/>
  <c r="N23" i="5"/>
  <c r="N17" i="5"/>
  <c r="N18" i="5"/>
  <c r="N25" i="5"/>
  <c r="N24" i="5"/>
  <c r="P16" i="5" l="1"/>
  <c r="O21" i="5"/>
  <c r="O16" i="5"/>
  <c r="O22" i="5"/>
  <c r="P22" i="5" s="1"/>
  <c r="O13" i="5"/>
  <c r="P13" i="5" s="1"/>
  <c r="O12" i="5"/>
  <c r="P12" i="5" s="1"/>
  <c r="O15" i="5"/>
  <c r="O11" i="5"/>
  <c r="O23" i="5"/>
  <c r="P23" i="5" s="1"/>
  <c r="O24" i="5"/>
  <c r="P24" i="5" s="1"/>
  <c r="O17" i="5"/>
  <c r="O18" i="5"/>
  <c r="P18" i="5" s="1"/>
  <c r="O25" i="5"/>
  <c r="P25" i="5" s="1"/>
  <c r="O20" i="5"/>
  <c r="P20" i="5" s="1"/>
  <c r="O14" i="5"/>
  <c r="P14" i="5" s="1"/>
  <c r="O19" i="5"/>
  <c r="P19" i="5" s="1"/>
  <c r="P11" i="5"/>
  <c r="P17" i="5"/>
  <c r="P15" i="5"/>
  <c r="P21" i="5"/>
  <c r="C11" i="7" l="1"/>
  <c r="Q19" i="5"/>
  <c r="C10" i="7"/>
  <c r="Q18" i="5"/>
  <c r="C14" i="7"/>
  <c r="Q22" i="5"/>
  <c r="C6" i="7"/>
  <c r="Q14" i="5"/>
  <c r="C16" i="7"/>
  <c r="Q24" i="5"/>
  <c r="C12" i="7"/>
  <c r="Q20" i="5"/>
  <c r="C4" i="7"/>
  <c r="Q12" i="5"/>
  <c r="C17" i="7"/>
  <c r="Q25" i="5"/>
  <c r="C15" i="7"/>
  <c r="Q23" i="5"/>
  <c r="C5" i="7"/>
  <c r="Q13" i="5"/>
  <c r="C9" i="7"/>
  <c r="Q17" i="5"/>
  <c r="C43" i="8"/>
  <c r="H6" i="6"/>
  <c r="C3" i="7"/>
  <c r="J6" i="6"/>
  <c r="I6" i="6"/>
  <c r="M31" i="5"/>
  <c r="I31" i="5"/>
  <c r="E31" i="5"/>
  <c r="M30" i="5"/>
  <c r="I30" i="5"/>
  <c r="E30" i="5"/>
  <c r="M29" i="5"/>
  <c r="I29" i="5"/>
  <c r="E29" i="5"/>
  <c r="L31" i="5"/>
  <c r="H31" i="5"/>
  <c r="D31" i="5"/>
  <c r="L30" i="5"/>
  <c r="H30" i="5"/>
  <c r="D30" i="5"/>
  <c r="L29" i="5"/>
  <c r="H29" i="5"/>
  <c r="D29" i="5"/>
  <c r="K31" i="5"/>
  <c r="G31" i="5"/>
  <c r="C31" i="5"/>
  <c r="K30" i="5"/>
  <c r="G30" i="5"/>
  <c r="C30" i="5"/>
  <c r="K29" i="5"/>
  <c r="G29" i="5"/>
  <c r="C29" i="5"/>
  <c r="Q11" i="5"/>
  <c r="J31" i="5"/>
  <c r="F31" i="5"/>
  <c r="B31" i="5"/>
  <c r="J30" i="5"/>
  <c r="F30" i="5"/>
  <c r="B30" i="5"/>
  <c r="J29" i="5"/>
  <c r="F29" i="5"/>
  <c r="B29" i="5"/>
  <c r="C8" i="7"/>
  <c r="Q16" i="5"/>
  <c r="C13" i="7"/>
  <c r="Q21" i="5"/>
  <c r="C7" i="7"/>
  <c r="Q15" i="5"/>
  <c r="E29" i="8" l="1"/>
  <c r="O41" i="5"/>
  <c r="O49" i="5"/>
  <c r="O45" i="5"/>
  <c r="O48" i="5"/>
  <c r="O47" i="5"/>
  <c r="O42" i="5"/>
  <c r="O44" i="5"/>
  <c r="O53" i="5"/>
  <c r="O39" i="5"/>
  <c r="O40" i="5"/>
  <c r="O50" i="5"/>
  <c r="O52" i="5"/>
  <c r="O46" i="5"/>
  <c r="O51" i="5"/>
  <c r="O43" i="5"/>
  <c r="I5" i="7"/>
  <c r="D5" i="7"/>
  <c r="C14" i="9"/>
  <c r="G5" i="7"/>
  <c r="I17" i="7"/>
  <c r="D17" i="7"/>
  <c r="C26" i="9"/>
  <c r="G17" i="7"/>
  <c r="G12" i="7"/>
  <c r="C21" i="9"/>
  <c r="I12" i="7"/>
  <c r="D12" i="7"/>
  <c r="I6" i="7"/>
  <c r="C15" i="9"/>
  <c r="D6" i="7"/>
  <c r="G6" i="7"/>
  <c r="I10" i="7"/>
  <c r="C19" i="9"/>
  <c r="D10" i="7"/>
  <c r="G10" i="7"/>
  <c r="I13" i="7"/>
  <c r="D13" i="7"/>
  <c r="C22" i="9"/>
  <c r="G13" i="7"/>
  <c r="E28" i="8"/>
  <c r="N50" i="5"/>
  <c r="N42" i="5"/>
  <c r="N51" i="5"/>
  <c r="N40" i="5"/>
  <c r="N41" i="5"/>
  <c r="N49" i="5"/>
  <c r="N46" i="5"/>
  <c r="N45" i="5"/>
  <c r="N47" i="5"/>
  <c r="N48" i="5"/>
  <c r="N52" i="5"/>
  <c r="N44" i="5"/>
  <c r="N53" i="5"/>
  <c r="N39" i="5"/>
  <c r="N43" i="5"/>
  <c r="C33" i="5"/>
  <c r="B6" i="6" s="1"/>
  <c r="E27" i="8"/>
  <c r="M52" i="5"/>
  <c r="P52" i="5" s="1"/>
  <c r="M47" i="5"/>
  <c r="P47" i="5" s="1"/>
  <c r="M44" i="5"/>
  <c r="M53" i="5"/>
  <c r="P53" i="5" s="1"/>
  <c r="M39" i="5"/>
  <c r="P39" i="5" s="1"/>
  <c r="M50" i="5"/>
  <c r="M42" i="5"/>
  <c r="M43" i="5"/>
  <c r="M40" i="5"/>
  <c r="P40" i="5" s="1"/>
  <c r="M49" i="5"/>
  <c r="M46" i="5"/>
  <c r="P46" i="5" s="1"/>
  <c r="M51" i="5"/>
  <c r="P51" i="5" s="1"/>
  <c r="M41" i="5"/>
  <c r="P41" i="5" s="1"/>
  <c r="M45" i="5"/>
  <c r="M48" i="5"/>
  <c r="D7" i="7"/>
  <c r="G7" i="7"/>
  <c r="C16" i="9"/>
  <c r="I7" i="7"/>
  <c r="G8" i="7"/>
  <c r="C17" i="9"/>
  <c r="I8" i="7"/>
  <c r="D8" i="7"/>
  <c r="I8" i="9"/>
  <c r="E8" i="9"/>
  <c r="J7" i="9"/>
  <c r="F7" i="9"/>
  <c r="G6" i="9"/>
  <c r="C6" i="9"/>
  <c r="D3" i="7"/>
  <c r="H8" i="9"/>
  <c r="D8" i="9"/>
  <c r="I7" i="9"/>
  <c r="E7" i="9"/>
  <c r="J6" i="9"/>
  <c r="F6" i="9"/>
  <c r="G3" i="7"/>
  <c r="G8" i="9"/>
  <c r="C8" i="9"/>
  <c r="H7" i="9"/>
  <c r="D7" i="9"/>
  <c r="I6" i="9"/>
  <c r="E6" i="9"/>
  <c r="J8" i="9"/>
  <c r="F8" i="9"/>
  <c r="G7" i="9"/>
  <c r="C7" i="9"/>
  <c r="H6" i="9"/>
  <c r="D6" i="9"/>
  <c r="I3" i="7"/>
  <c r="I9" i="7"/>
  <c r="D9" i="7"/>
  <c r="C18" i="9"/>
  <c r="G9" i="7"/>
  <c r="D15" i="7"/>
  <c r="G15" i="7"/>
  <c r="C24" i="9"/>
  <c r="I15" i="7"/>
  <c r="G4" i="7"/>
  <c r="I4" i="7"/>
  <c r="D4" i="7"/>
  <c r="G16" i="7"/>
  <c r="C25" i="9"/>
  <c r="I16" i="7"/>
  <c r="D16" i="7"/>
  <c r="I14" i="7"/>
  <c r="C23" i="9"/>
  <c r="D14" i="7"/>
  <c r="G14" i="7"/>
  <c r="D11" i="7"/>
  <c r="G11" i="7"/>
  <c r="C20" i="9"/>
  <c r="I11" i="7"/>
  <c r="C71" i="5" l="1"/>
  <c r="Q41" i="5"/>
  <c r="C82" i="5"/>
  <c r="Q52" i="5"/>
  <c r="Q51" i="5"/>
  <c r="C81" i="5"/>
  <c r="P43" i="5"/>
  <c r="C83" i="5"/>
  <c r="Q53" i="5"/>
  <c r="C70" i="5"/>
  <c r="Q40" i="5"/>
  <c r="P48" i="5"/>
  <c r="C76" i="5"/>
  <c r="Q46" i="5"/>
  <c r="P42" i="5"/>
  <c r="K58" i="5" s="1"/>
  <c r="P44" i="5"/>
  <c r="C69" i="5"/>
  <c r="Q39" i="5"/>
  <c r="P45" i="5"/>
  <c r="M57" i="5" s="1"/>
  <c r="P49" i="5"/>
  <c r="P50" i="5"/>
  <c r="Q47" i="5"/>
  <c r="C77" i="5"/>
  <c r="M59" i="5" l="1"/>
  <c r="J57" i="5"/>
  <c r="B59" i="5"/>
  <c r="G57" i="5"/>
  <c r="C74" i="5"/>
  <c r="Q44" i="5"/>
  <c r="C78" i="5"/>
  <c r="Q48" i="5"/>
  <c r="C20" i="8"/>
  <c r="M58" i="5"/>
  <c r="C61" i="5" s="1"/>
  <c r="C6" i="8"/>
  <c r="B58" i="5"/>
  <c r="F59" i="5"/>
  <c r="K57" i="5"/>
  <c r="C59" i="5"/>
  <c r="D77" i="5" s="1"/>
  <c r="D14" i="8" s="1"/>
  <c r="C72" i="5"/>
  <c r="Q42" i="5"/>
  <c r="Q43" i="5"/>
  <c r="C73" i="5"/>
  <c r="C19" i="8"/>
  <c r="E59" i="5"/>
  <c r="B57" i="5"/>
  <c r="F58" i="5"/>
  <c r="J59" i="5"/>
  <c r="C58" i="5"/>
  <c r="D83" i="5" s="1"/>
  <c r="D20" i="8" s="1"/>
  <c r="G59" i="5"/>
  <c r="C7" i="8"/>
  <c r="C18" i="8"/>
  <c r="C14" i="8"/>
  <c r="C75" i="5"/>
  <c r="Q45" i="5"/>
  <c r="H57" i="5"/>
  <c r="L58" i="5"/>
  <c r="E57" i="5"/>
  <c r="I58" i="5"/>
  <c r="C109" i="5"/>
  <c r="L57" i="5"/>
  <c r="D59" i="5"/>
  <c r="I57" i="5"/>
  <c r="C80" i="5"/>
  <c r="Q50" i="5"/>
  <c r="D58" i="5"/>
  <c r="H59" i="5"/>
  <c r="D70" i="5" s="1"/>
  <c r="C79" i="5"/>
  <c r="Q49" i="5"/>
  <c r="D57" i="5"/>
  <c r="E82" i="5" s="1"/>
  <c r="H58" i="5"/>
  <c r="L59" i="5"/>
  <c r="E58" i="5"/>
  <c r="I59" i="5"/>
  <c r="F57" i="5"/>
  <c r="E76" i="5" s="1"/>
  <c r="J58" i="5"/>
  <c r="C57" i="5"/>
  <c r="G58" i="5"/>
  <c r="K59" i="5"/>
  <c r="C13" i="8"/>
  <c r="C8" i="8"/>
  <c r="E71" i="5"/>
  <c r="D7" i="8" l="1"/>
  <c r="E19" i="8"/>
  <c r="C38" i="8"/>
  <c r="C44" i="8" s="1"/>
  <c r="B49" i="8" s="1"/>
  <c r="D49" i="8" s="1"/>
  <c r="B7" i="6"/>
  <c r="C98" i="5"/>
  <c r="E13" i="8"/>
  <c r="C16" i="8"/>
  <c r="E79" i="5"/>
  <c r="D79" i="5"/>
  <c r="D16" i="8" s="1"/>
  <c r="C12" i="8"/>
  <c r="E75" i="5"/>
  <c r="D75" i="5"/>
  <c r="D12" i="8" s="1"/>
  <c r="D71" i="5"/>
  <c r="D8" i="8" s="1"/>
  <c r="D76" i="5"/>
  <c r="D13" i="8" s="1"/>
  <c r="E89" i="5"/>
  <c r="E81" i="5"/>
  <c r="C15" i="8"/>
  <c r="E78" i="5"/>
  <c r="D78" i="5"/>
  <c r="D15" i="8" s="1"/>
  <c r="C110" i="5"/>
  <c r="B116" i="5" s="1"/>
  <c r="D116" i="5" s="1"/>
  <c r="E77" i="5"/>
  <c r="D82" i="5"/>
  <c r="D19" i="8" s="1"/>
  <c r="C9" i="8"/>
  <c r="D72" i="5"/>
  <c r="D9" i="8" s="1"/>
  <c r="E72" i="5"/>
  <c r="E90" i="5"/>
  <c r="C10" i="8"/>
  <c r="E73" i="5"/>
  <c r="D73" i="5"/>
  <c r="D10" i="8" s="1"/>
  <c r="E91" i="5"/>
  <c r="D69" i="5"/>
  <c r="E83" i="5"/>
  <c r="C11" i="8"/>
  <c r="E74" i="5"/>
  <c r="D74" i="5"/>
  <c r="D11" i="8" s="1"/>
  <c r="E8" i="8"/>
  <c r="F8" i="8" s="1"/>
  <c r="G8" i="8" s="1"/>
  <c r="F71" i="5"/>
  <c r="G71" i="5" s="1"/>
  <c r="C17" i="8"/>
  <c r="D80" i="5"/>
  <c r="D17" i="8" s="1"/>
  <c r="E80" i="5"/>
  <c r="D81" i="5"/>
  <c r="D18" i="8" s="1"/>
  <c r="E70" i="5"/>
  <c r="E69" i="5"/>
  <c r="E7" i="8" l="1"/>
  <c r="F7" i="8" s="1"/>
  <c r="G7" i="8" s="1"/>
  <c r="F70" i="5"/>
  <c r="G70" i="5" s="1"/>
  <c r="E11" i="8"/>
  <c r="F11" i="8" s="1"/>
  <c r="G11" i="8" s="1"/>
  <c r="F74" i="5"/>
  <c r="G74" i="5" s="1"/>
  <c r="D6" i="8"/>
  <c r="D91" i="5"/>
  <c r="D29" i="8" s="1"/>
  <c r="B89" i="5"/>
  <c r="E18" i="8"/>
  <c r="F18" i="8" s="1"/>
  <c r="G18" i="8" s="1"/>
  <c r="F81" i="5"/>
  <c r="G81" i="5" s="1"/>
  <c r="E16" i="8"/>
  <c r="F16" i="8" s="1"/>
  <c r="G16" i="8" s="1"/>
  <c r="F79" i="5"/>
  <c r="G79" i="5" s="1"/>
  <c r="F19" i="8"/>
  <c r="G19" i="8" s="1"/>
  <c r="E12" i="8"/>
  <c r="F12" i="8" s="1"/>
  <c r="G12" i="8" s="1"/>
  <c r="F75" i="5"/>
  <c r="G75" i="5" s="1"/>
  <c r="D90" i="5"/>
  <c r="D28" i="8" s="1"/>
  <c r="E20" i="8"/>
  <c r="F20" i="8" s="1"/>
  <c r="G20" i="8" s="1"/>
  <c r="F83" i="5"/>
  <c r="G83" i="5" s="1"/>
  <c r="D89" i="5"/>
  <c r="D27" i="8" s="1"/>
  <c r="E15" i="8"/>
  <c r="F15" i="8" s="1"/>
  <c r="G15" i="8" s="1"/>
  <c r="F78" i="5"/>
  <c r="G78" i="5" s="1"/>
  <c r="F76" i="5"/>
  <c r="G76" i="5" s="1"/>
  <c r="B91" i="5"/>
  <c r="E17" i="8"/>
  <c r="F17" i="8" s="1"/>
  <c r="G17" i="8" s="1"/>
  <c r="F80" i="5"/>
  <c r="G80" i="5" s="1"/>
  <c r="E6" i="8"/>
  <c r="F6" i="8" s="1"/>
  <c r="F69" i="5"/>
  <c r="B90" i="5"/>
  <c r="E10" i="8"/>
  <c r="F10" i="8" s="1"/>
  <c r="G10" i="8" s="1"/>
  <c r="F73" i="5"/>
  <c r="G73" i="5" s="1"/>
  <c r="E9" i="8"/>
  <c r="F9" i="8" s="1"/>
  <c r="G9" i="8" s="1"/>
  <c r="F72" i="5"/>
  <c r="G72" i="5" s="1"/>
  <c r="E14" i="8"/>
  <c r="F14" i="8" s="1"/>
  <c r="G14" i="8" s="1"/>
  <c r="F77" i="5"/>
  <c r="G77" i="5" s="1"/>
  <c r="F13" i="8"/>
  <c r="G13" i="8" s="1"/>
  <c r="F82" i="5"/>
  <c r="G82" i="5" s="1"/>
  <c r="B28" i="8" l="1"/>
  <c r="F28" i="8" s="1"/>
  <c r="G90" i="5"/>
  <c r="G28" i="8" s="1"/>
  <c r="F90" i="5"/>
  <c r="F89" i="5"/>
  <c r="B27" i="8"/>
  <c r="F27" i="8" s="1"/>
  <c r="G89" i="5"/>
  <c r="F84" i="5"/>
  <c r="G69" i="5"/>
  <c r="B29" i="8"/>
  <c r="F29" i="8" s="1"/>
  <c r="G91" i="5"/>
  <c r="G29" i="8" s="1"/>
  <c r="F91" i="5"/>
  <c r="G6" i="8"/>
  <c r="F22" i="8"/>
  <c r="B114" i="5" l="1"/>
  <c r="D114" i="5" s="1"/>
  <c r="G84" i="5"/>
  <c r="G92" i="5"/>
  <c r="B115" i="5" s="1"/>
  <c r="D115" i="5" s="1"/>
  <c r="G27" i="8"/>
  <c r="G31" i="8" s="1"/>
  <c r="B48" i="8" s="1"/>
  <c r="D48" i="8" s="1"/>
  <c r="G22" i="8"/>
  <c r="B47" i="8"/>
  <c r="D47" i="8" s="1"/>
</calcChain>
</file>

<file path=xl/sharedStrings.xml><?xml version="1.0" encoding="utf-8"?>
<sst xmlns="http://schemas.openxmlformats.org/spreadsheetml/2006/main" count="447" uniqueCount="250">
  <si>
    <t>PERHITUNGAN MANUAL K-MEANS++</t>
  </si>
  <si>
    <t>Pengembangan Model Konseptual Intelijen Spasial Berbasis Klasterisasi K-Means++ dan Analisis Spatio-Temporal</t>
  </si>
  <si>
    <t>untuk Pemodelan Dinamis Potensi Wisata di Kabupaten Magelang</t>
  </si>
  <si>
    <t>No</t>
  </si>
  <si>
    <t>Sheet</t>
  </si>
  <si>
    <t>Isi / Konten</t>
  </si>
  <si>
    <t>Metode Utama</t>
  </si>
  <si>
    <t>1_Dataset</t>
  </si>
  <si>
    <t>Dataset spatio-temporal 15 destinasi wisata Magelang dengan 10 atribut</t>
  </si>
  <si>
    <t>Data Input (Biru)</t>
  </si>
  <si>
    <t>2_Normalisasi</t>
  </si>
  <si>
    <t>Normalisasi Min-Max semua fitur numerik ke rentang [0,1]</t>
  </si>
  <si>
    <t>Formula Min-Max</t>
  </si>
  <si>
    <t>3_KMeans++_Init</t>
  </si>
  <si>
    <t>Inisialisasi centroid K-Means++ berbasis probabilitas D²</t>
  </si>
  <si>
    <t>Langkah 1-4</t>
  </si>
  <si>
    <t>4_Iterasi_KMeans++</t>
  </si>
  <si>
    <t>Penugasan klaster &amp; update centroid (Iterasi 1)</t>
  </si>
  <si>
    <t>Jarak Euclidean</t>
  </si>
  <si>
    <t>5_Konvergensi</t>
  </si>
  <si>
    <t>Tracking pergeseran centroid &amp; deteksi konvergensi</t>
  </si>
  <si>
    <t>Analisis Δ Centroid</t>
  </si>
  <si>
    <t>6_Hasil_Klaster</t>
  </si>
  <si>
    <t>Hasil final klasterisasi + skor potensi per destinasi</t>
  </si>
  <si>
    <t>Output Final</t>
  </si>
  <si>
    <t>7_Evaluasi_Metrik</t>
  </si>
  <si>
    <t>SC, DBI, CHI – tiga metrik evaluasi kualitas klaster</t>
  </si>
  <si>
    <t>Evaluasi Model</t>
  </si>
  <si>
    <t>8_Spatio_Temporal</t>
  </si>
  <si>
    <t>Analisis spasial per klaster &amp; proyeksi temporal 3 tahun</t>
  </si>
  <si>
    <t>Proyeksi Kunjungan</t>
  </si>
  <si>
    <t>Kode Warna: Biru = Input hardcoded | Hitam = Formula kalkulasi | Kuning = Nilai kritis | Hijau = Hasil/output</t>
  </si>
  <si>
    <t>DATASET SPATIO-TEMPORAL DESTINASI WISATA – KABUPATEN MAGELANG</t>
  </si>
  <si>
    <t>Penelitian: Pengembangan Model Konseptual Intelijen Spasial Berbasis K-Means++</t>
  </si>
  <si>
    <t>ID</t>
  </si>
  <si>
    <t>Nama Destinasi</t>
  </si>
  <si>
    <t>Longitude (X)</t>
  </si>
  <si>
    <t>Latitude (Y)</t>
  </si>
  <si>
    <t>Jml Kunjungan/Tahun</t>
  </si>
  <si>
    <t>Rating (1-5)</t>
  </si>
  <si>
    <t>Aksesibilitas (1-5)</t>
  </si>
  <si>
    <t>Fasilitas (1-5)</t>
  </si>
  <si>
    <t>Potensi Alam (1-5)</t>
  </si>
  <si>
    <t>Potensi Budaya (1-5)</t>
  </si>
  <si>
    <t>Pendapatan (Juta Rp)</t>
  </si>
  <si>
    <t>Trend YoY (%)</t>
  </si>
  <si>
    <t>Zona Temporal</t>
  </si>
  <si>
    <t>Candi Borobudur</t>
  </si>
  <si>
    <t>Peak Season</t>
  </si>
  <si>
    <t>Punthuk Setumbu</t>
  </si>
  <si>
    <t>Candi Pawon</t>
  </si>
  <si>
    <t>Mid Season</t>
  </si>
  <si>
    <t>Candi Mendut</t>
  </si>
  <si>
    <t>Ketep Pass</t>
  </si>
  <si>
    <t>Kopeng</t>
  </si>
  <si>
    <t>Low Season</t>
  </si>
  <si>
    <t>Air Terjun Kedung Kayang</t>
  </si>
  <si>
    <t>Telaga Bleder</t>
  </si>
  <si>
    <t>Bukit Rhema (Gereja Ayam)</t>
  </si>
  <si>
    <t>Sawah Sukomakmur</t>
  </si>
  <si>
    <t>Museum Karmawibhangga</t>
  </si>
  <si>
    <t>Taman Kyai Langgeng</t>
  </si>
  <si>
    <t>Gunung Andong</t>
  </si>
  <si>
    <t>Umbul Songo</t>
  </si>
  <si>
    <t>Puthuk Mongkrong</t>
  </si>
  <si>
    <t>PRA-PEMROSESAN: NORMALISASI MIN-MAX DATA SPATIO-TEMPORAL</t>
  </si>
  <si>
    <t>Formula: X_norm = (X - X_min) / (X_max - X_min)   |   Rentang hasil: [0, 1]</t>
  </si>
  <si>
    <t>Statistik</t>
  </si>
  <si>
    <t>Longitude</t>
  </si>
  <si>
    <t>Latitude</t>
  </si>
  <si>
    <t>Kunjungan</t>
  </si>
  <si>
    <t>Rating</t>
  </si>
  <si>
    <t>Akses</t>
  </si>
  <si>
    <t>Fasilitas</t>
  </si>
  <si>
    <t>P.Alam</t>
  </si>
  <si>
    <t>P.Budaya</t>
  </si>
  <si>
    <t>Pendapatan</t>
  </si>
  <si>
    <t>Trend</t>
  </si>
  <si>
    <t>Min</t>
  </si>
  <si>
    <t>Max</t>
  </si>
  <si>
    <t>Range</t>
  </si>
  <si>
    <t>Lon_norm</t>
  </si>
  <si>
    <t>Lat_norm</t>
  </si>
  <si>
    <t>Visit_norm</t>
  </si>
  <si>
    <t>Rating_norm</t>
  </si>
  <si>
    <t>Akses_norm</t>
  </si>
  <si>
    <t>Fas_norm</t>
  </si>
  <si>
    <t>Alam_norm</t>
  </si>
  <si>
    <t>Budaya_norm</t>
  </si>
  <si>
    <t>Pend_norm</t>
  </si>
  <si>
    <t>Trend_norm</t>
  </si>
  <si>
    <t>K-MEANS++ INISIALISASI CENTROID – PROSEDUR PEMILIHAN BERBASIS PROBABILITAS</t>
  </si>
  <si>
    <t>K-Means++ memilih centroid awal dengan probabilitas proporsional terhadap D²(x) – jarak kuadrat minimum ke centroid yang sudah dipilih. Hal ini menjamin konvergensi lebih cepat dan menghindari inisialisasi buruk dibanding K-Means biasa.</t>
  </si>
  <si>
    <t>PARAMETER K-MEANS++</t>
  </si>
  <si>
    <t>K (jumlah klaster)</t>
  </si>
  <si>
    <t>Fitur digunakan</t>
  </si>
  <si>
    <t>Metode jarak</t>
  </si>
  <si>
    <t>Euclidean</t>
  </si>
  <si>
    <t>Seed centroid-1</t>
  </si>
  <si>
    <t>ID=1 (Borobudur – manual)</t>
  </si>
  <si>
    <t>LANGKAH 1: Centroid C1 = Titik pertama (ID 1 – Candi Borobudur)</t>
  </si>
  <si>
    <t>Centroid C1</t>
  </si>
  <si>
    <t>Lon_n</t>
  </si>
  <si>
    <t>Lat_n</t>
  </si>
  <si>
    <t>Visit_n</t>
  </si>
  <si>
    <t>Rating_n</t>
  </si>
  <si>
    <t>Akses_n</t>
  </si>
  <si>
    <t>Fas_n</t>
  </si>
  <si>
    <t>Alam_n</t>
  </si>
  <si>
    <t>Budaya_n</t>
  </si>
  <si>
    <t>Pend_n</t>
  </si>
  <si>
    <t>Trend_n</t>
  </si>
  <si>
    <t>C1 Values</t>
  </si>
  <si>
    <t>LANGKAH 2: Hitung D²(x,C1) = Σ(xi – C1i)²  untuk semua titik</t>
  </si>
  <si>
    <t>Nama</t>
  </si>
  <si>
    <t>D²(x,C1)</t>
  </si>
  <si>
    <t>P(x) Kumulatif</t>
  </si>
  <si>
    <t>Total D²</t>
  </si>
  <si>
    <t>LANGKAH 3: Pilih C2 – Titik dengan D²(x,C1) MAKSIMUM (probabilitas tertinggi untuk dipilih)</t>
  </si>
  <si>
    <t>C2 = ID argmax D²</t>
  </si>
  <si>
    <t>C2 Values</t>
  </si>
  <si>
    <t>LANGKAH 4: Hitung D²_min = min(D²(x,C1), D²(x,C2)) → Pilih C3 sebagai argmax</t>
  </si>
  <si>
    <t>D²(x,C2)</t>
  </si>
  <si>
    <t>D²_min</t>
  </si>
  <si>
    <t>P_cum</t>
  </si>
  <si>
    <t>C3 = ID argmax D²_min</t>
  </si>
  <si>
    <t>Nama Destinasi C3</t>
  </si>
  <si>
    <t>C3 Values</t>
  </si>
  <si>
    <t>ITERASI K-MEANS++: PENUGASAN KLASTER DAN UPDATE CENTROID</t>
  </si>
  <si>
    <t>Algoritma: (1) Hitung jarak Euclidean ke setiap centroid → (2) Assign ke centroid terdekat → (3) Update centroid = mean klaster → (4) Ulangi hingga konvergen</t>
  </si>
  <si>
    <t>Centroid</t>
  </si>
  <si>
    <t>C1 (Iter-0)</t>
  </si>
  <si>
    <t>C2 (Iter-0)</t>
  </si>
  <si>
    <t>C3 (Iter-0)</t>
  </si>
  <si>
    <t>ITERASI 1 – PENUGASAN: Hitung jarak ke C1, C2, C3 → assign klaster</t>
  </si>
  <si>
    <t>d(x,C1)</t>
  </si>
  <si>
    <t>d(x,C2)</t>
  </si>
  <si>
    <t>d(x,C3)</t>
  </si>
  <si>
    <t>Klaster</t>
  </si>
  <si>
    <t>Warna</t>
  </si>
  <si>
    <t>UPDATE CENTROID ITERASI 1: Centroid baru = AVERAGE(titik dalam klaster)</t>
  </si>
  <si>
    <t>n(titik)</t>
  </si>
  <si>
    <t>WCSS</t>
  </si>
  <si>
    <t>C1 baru</t>
  </si>
  <si>
    <t>C2 baru</t>
  </si>
  <si>
    <t>C3 baru</t>
  </si>
  <si>
    <t>Total WCSS Iter-1</t>
  </si>
  <si>
    <t>ITERASI 2 – PENUGASAN: Hitung jarak ke C1, C2, C3 → assign klaster</t>
  </si>
  <si>
    <t>UPDATE CENTROID ITERASI 2: Centroid baru = AVERAGE(titik dalam klaster)</t>
  </si>
  <si>
    <t>Total WCSS Iter-2</t>
  </si>
  <si>
    <t>EVALUASI MODEL: SILHOUETTE COEFFICIENT | DAVIES-BOULDIN INDEX | CALINSKI-HARABASZ INDEX</t>
  </si>
  <si>
    <t>1. SILHOUETTE COEFFICIENT (SC)  –  Kisaran: [-1, +1]  |  Semakin tinggi semakin baik</t>
  </si>
  <si>
    <t>Formula: s(i) = (b(i) - a(i)) / max(a(i), b(i))   |   a(i) = jarak titik ke centroid klaster sendiri   |   b(i) = jarak minimum ke centroid klaster lain</t>
  </si>
  <si>
    <t>a(i) Intra</t>
  </si>
  <si>
    <t>b(i) Inter</t>
  </si>
  <si>
    <t>s(i) Silhouette</t>
  </si>
  <si>
    <t>Interpretasi</t>
  </si>
  <si>
    <t>Silhouette Coefficient (SC) =</t>
  </si>
  <si>
    <t>2. DAVIES-BOULDIN INDEX (DBI)  –  Semakin KECIL semakin baik (DBI &lt; 1 = baik)</t>
  </si>
  <si>
    <t>Formula: DBI = (1/K) Σᵢ maxⱼ≠ᵢ [ (σᵢ + σⱼ) / d(Cᵢ, Cⱼ) ]   |   σᵢ = avg intra-cluster dist klaster i   |   d(Cᵢ,Cⱼ) = jarak Euclidean antar centroid</t>
  </si>
  <si>
    <t>Klaster i</t>
  </si>
  <si>
    <t>σ_i (avg intra)</t>
  </si>
  <si>
    <t>vs Klaster j</t>
  </si>
  <si>
    <t>σ_j (avg intra)</t>
  </si>
  <si>
    <t>d(Ci,Cj)</t>
  </si>
  <si>
    <t>(σi+σj)/d</t>
  </si>
  <si>
    <t>R_ij max</t>
  </si>
  <si>
    <t>DBI =</t>
  </si>
  <si>
    <t>3. CALINSKI-HARABASZ INDEX (CHI)  –  Semakin BESAR semakin baik</t>
  </si>
  <si>
    <t>Formula: CHI = [BCSS / (K-1)] / [WCSS / (N-K)]   |   BCSS = Between-Cluster SS   |   WCSS = Within-Cluster SS</t>
  </si>
  <si>
    <t>N (total titik)</t>
  </si>
  <si>
    <t>K (klaster)</t>
  </si>
  <si>
    <t>Grand Mean Lon_n</t>
  </si>
  <si>
    <t>Grand Mean Lat_n</t>
  </si>
  <si>
    <t>Grand Mean Visit_n</t>
  </si>
  <si>
    <t>Grand Mean Rating_n</t>
  </si>
  <si>
    <t>Grand Mean Akses_n</t>
  </si>
  <si>
    <t>Grand Mean Fas_n</t>
  </si>
  <si>
    <t>Grand Mean Alam_n</t>
  </si>
  <si>
    <t>Grand Mean Budaya_n</t>
  </si>
  <si>
    <t>Grand Mean Pend_n</t>
  </si>
  <si>
    <t>Grand Mean Trend_n</t>
  </si>
  <si>
    <t>BCSS (Between-Cluster SS)</t>
  </si>
  <si>
    <t>CHI</t>
  </si>
  <si>
    <t>RINGKASAN EVALUASI MODEL K-MEANS++</t>
  </si>
  <si>
    <t>Metrik</t>
  </si>
  <si>
    <t>Nilai</t>
  </si>
  <si>
    <t>Threshold Baik</t>
  </si>
  <si>
    <t>Status</t>
  </si>
  <si>
    <t>Silhouette Coefficient (SC)</t>
  </si>
  <si>
    <t>&gt; 0.5</t>
  </si>
  <si>
    <t>Mengukur seberapa mirip objek dengan klasternya vs klaster lain</t>
  </si>
  <si>
    <t>Davies-Bouldin Index (DBI)</t>
  </si>
  <si>
    <t>&lt; 1.0</t>
  </si>
  <si>
    <t>Rasio avg dispersi intra-klaster terhadap jarak antar centroid</t>
  </si>
  <si>
    <t>Calinski-Harabasz Index (CHI)</t>
  </si>
  <si>
    <t>&gt; 100</t>
  </si>
  <si>
    <t>Rasio variance antar-klaster terhadap variance intra-klaster</t>
  </si>
  <si>
    <t>ANALISIS KONVERGENSI: PERGESERAN CENTROID PER ITERASI</t>
  </si>
  <si>
    <t>Konvergensi tercapai ketika pergeseran centroid &lt; threshold (ε = 0.0001) atau jumlah iterasi maksimum tercapai</t>
  </si>
  <si>
    <t>Iterasi</t>
  </si>
  <si>
    <t>ΔC1 (shift)</t>
  </si>
  <si>
    <t>ΔC2 (shift)</t>
  </si>
  <si>
    <t>ΔC3 (shift)</t>
  </si>
  <si>
    <t>Δ Total Shift</t>
  </si>
  <si>
    <t>Klaster-1 (n)</t>
  </si>
  <si>
    <t>Klaster-2 (n)</t>
  </si>
  <si>
    <t>Klaster-3 (n)</t>
  </si>
  <si>
    <t>Inisialisasi</t>
  </si>
  <si>
    <t>Belum Konvergen</t>
  </si>
  <si>
    <t>✓ KONVERGEN</t>
  </si>
  <si>
    <t>Threshold ε</t>
  </si>
  <si>
    <t>HASIL KLASTERISASI FINAL K-MEANS++ – KABUPATEN MAGELANG</t>
  </si>
  <si>
    <t>Label Klaster</t>
  </si>
  <si>
    <t>Kunjungan/Tahun</t>
  </si>
  <si>
    <t>d(x,centroid)</t>
  </si>
  <si>
    <t>Skor Potensi</t>
  </si>
  <si>
    <t>Rekomendasi</t>
  </si>
  <si>
    <t>Formula: s(i) = (b(i) - a(i)) / max(a(i), b(i))   |   a(i) = rata-rata jarak intra-klaster  |   b(i) = rata-rata jarak terdekat ke klaster lain</t>
  </si>
  <si>
    <t>Bukit Rhema</t>
  </si>
  <si>
    <t>Formula: DBI = (1/K) Σᵢ maxⱼ≠ᵢ [ (σᵢ + σⱼ) / d(Cᵢ, Cⱼ) ]   |   σᵢ = rata-rata jarak titik ke centroid klaster i  |  R_ij max = nilai tertinggi per klaster i</t>
  </si>
  <si>
    <t>Formula: CHI = [BCSS / (K-1)] / [WCSS / (N-K)]   |   BCSS = Between-Cluster SS  |   WCSS = Within-Cluster SS  |   N = total titik, K = klaster</t>
  </si>
  <si>
    <t>ANALISIS SPATIO-TEMPORAL: DISTRIBUSI KLASTER &amp; TREND KUNJUNGAN</t>
  </si>
  <si>
    <t>Integrasi koordinat geografis (Lon/Lat) dengan data temporal untuk pemodelan dinamis potensi wisata</t>
  </si>
  <si>
    <t>RINGKASAN SPASIAL PER KLASTER</t>
  </si>
  <si>
    <t>Label</t>
  </si>
  <si>
    <t>n Titik</t>
  </si>
  <si>
    <t>Centroid Lon</t>
  </si>
  <si>
    <t>Centroid Lat</t>
  </si>
  <si>
    <t>Avg Kunjungan</t>
  </si>
  <si>
    <t>Avg Rating</t>
  </si>
  <si>
    <t>Avg Pendapatan (Jt Rp)</t>
  </si>
  <si>
    <t>Total Pendapatan (Jt Rp)</t>
  </si>
  <si>
    <t>Trend Avg (%)</t>
  </si>
  <si>
    <t>Zona Dominan</t>
  </si>
  <si>
    <t>Strategi</t>
  </si>
  <si>
    <t>Klaster 1: Unggulan</t>
  </si>
  <si>
    <t>Pertahankan kualitas, ekspansi kapasitas, tingkatkan promosi internasional</t>
  </si>
  <si>
    <t>Klaster 2: Berkembang</t>
  </si>
  <si>
    <t>Investasi infrastruktur, sertifikasi standar wisata, paket wisata kombinasi</t>
  </si>
  <si>
    <t>Klaster 3: Potensial</t>
  </si>
  <si>
    <t>Pengembangan aksesibilitas, promosi digital, eco-tourism</t>
  </si>
  <si>
    <t>ANALISIS TEMPORAL: ESTIMASI PROYEKSI KUNJUNGAN (3 TAHUN KE DEPAN)</t>
  </si>
  <si>
    <t>Kunjungan 2024</t>
  </si>
  <si>
    <t>Trend YoY</t>
  </si>
  <si>
    <t>Proyeksi 2025</t>
  </si>
  <si>
    <t>Proyeksi 2026</t>
  </si>
  <si>
    <t>Proyeksi 2027</t>
  </si>
  <si>
    <t>CAGR 3Thn</t>
  </si>
  <si>
    <t>Kategori Pertumbuhan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</si>
</sst>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%"/>
    <numFmt numFmtId="166" formatCode="0.0000%"/>
    <numFmt numFmtId="167" formatCode="0.000"/>
    <numFmt numFmtId="168" formatCode="0.0"/>
    <numFmt numFmtId="169" formatCode="#,##0.0"/>
  </numFmts>
  <fonts count="36" x14ac:knownFonts="1">
    <font>
      <sz val="11"/>
      <color theme="1"/>
      <name val="Calibri"/>
      <family val="2"/>
      <charset val="1"/>
    </font>
    <font>
      <b/>
      <sz val="20"/>
      <color rgb="FFFFFFFF"/>
      <name val="Calibri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F3864"/>
      <name val="Calibri"/>
      <family val="2"/>
    </font>
    <font>
      <b/>
      <sz val="9"/>
      <color rgb="FF00008B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8B"/>
      <name val="Calibri"/>
      <family val="2"/>
    </font>
    <font>
      <b/>
      <sz val="13"/>
      <color rgb="FFFFFFFF"/>
      <name val="Calibri"/>
      <family val="2"/>
    </font>
    <font>
      <b/>
      <i/>
      <sz val="10"/>
      <color rgb="FFFFFFFF"/>
      <name val="Calibri"/>
      <family val="2"/>
    </font>
    <font>
      <sz val="9"/>
      <color rgb="FF000000"/>
      <name val="Calibri"/>
      <family val="2"/>
    </font>
    <font>
      <i/>
      <sz val="9"/>
      <color rgb="FFFFFFFF"/>
      <name val="Calibri"/>
      <family val="2"/>
    </font>
    <font>
      <b/>
      <sz val="9"/>
      <name val="Calibri"/>
      <family val="2"/>
    </font>
    <font>
      <b/>
      <sz val="9"/>
      <name val="Calibri"/>
      <family val="2"/>
      <charset val="1"/>
    </font>
    <font>
      <b/>
      <sz val="9"/>
      <color rgb="FFC00000"/>
      <name val="Calibri"/>
      <family val="2"/>
    </font>
    <font>
      <b/>
      <sz val="10"/>
      <color rgb="FFFFFFFF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8B"/>
      <name val="Arial"/>
      <family val="2"/>
    </font>
    <font>
      <b/>
      <sz val="9"/>
      <color rgb="FF000000"/>
      <name val="Arial"/>
      <family val="2"/>
    </font>
    <font>
      <b/>
      <sz val="9"/>
      <color rgb="FFC00000"/>
      <name val="Arial"/>
      <family val="2"/>
    </font>
    <font>
      <b/>
      <sz val="11"/>
      <color rgb="FFFFFFFF"/>
      <name val="Arial"/>
      <family val="2"/>
    </font>
    <font>
      <sz val="9"/>
      <color rgb="FF1F3864"/>
      <name val="Calibri"/>
      <family val="2"/>
    </font>
    <font>
      <b/>
      <sz val="9"/>
      <color rgb="FF375623"/>
      <name val="Calibri"/>
      <family val="2"/>
    </font>
    <font>
      <i/>
      <sz val="9"/>
      <color rgb="FF000000"/>
      <name val="Calibri"/>
      <family val="2"/>
    </font>
    <font>
      <b/>
      <sz val="10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0"/>
      <color rgb="FFC00000"/>
      <name val="Calibri"/>
      <family val="2"/>
    </font>
    <font>
      <sz val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C6EFCE"/>
        <bgColor rgb="FFE2EFDA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14" fillId="7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164" fontId="14" fillId="4" borderId="1" xfId="0" applyNumberFormat="1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vertical="center" wrapText="1"/>
    </xf>
    <xf numFmtId="164" fontId="14" fillId="8" borderId="1" xfId="0" applyNumberFormat="1" applyFont="1" applyFill="1" applyBorder="1" applyAlignment="1">
      <alignment horizontal="center" vertical="center" wrapText="1"/>
    </xf>
    <xf numFmtId="166" fontId="14" fillId="6" borderId="1" xfId="0" applyNumberFormat="1" applyFont="1" applyFill="1" applyBorder="1" applyAlignment="1">
      <alignment horizontal="center" vertical="center" wrapText="1"/>
    </xf>
    <xf numFmtId="1" fontId="14" fillId="4" borderId="1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left" vertical="center" wrapText="1"/>
    </xf>
    <xf numFmtId="164" fontId="14" fillId="9" borderId="1" xfId="0" applyNumberFormat="1" applyFont="1" applyFill="1" applyBorder="1" applyAlignment="1">
      <alignment horizontal="center" vertical="center" wrapText="1"/>
    </xf>
    <xf numFmtId="1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164" fontId="0" fillId="0" borderId="0" xfId="0" applyNumberFormat="1" applyAlignment="1"/>
    <xf numFmtId="1" fontId="14" fillId="5" borderId="1" xfId="0" applyNumberFormat="1" applyFont="1" applyFill="1" applyBorder="1" applyAlignment="1">
      <alignment horizontal="center" vertical="center" wrapText="1"/>
    </xf>
    <xf numFmtId="167" fontId="14" fillId="9" borderId="1" xfId="0" applyNumberFormat="1" applyFont="1" applyFill="1" applyBorder="1" applyAlignment="1">
      <alignment horizontal="center" vertical="center" wrapText="1"/>
    </xf>
    <xf numFmtId="167" fontId="18" fillId="4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/>
    <xf numFmtId="167" fontId="14" fillId="7" borderId="1" xfId="0" applyNumberFormat="1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left" vertical="center"/>
    </xf>
    <xf numFmtId="1" fontId="24" fillId="5" borderId="5" xfId="0" applyNumberFormat="1" applyFont="1" applyFill="1" applyBorder="1" applyAlignment="1">
      <alignment horizontal="center" vertical="center"/>
    </xf>
    <xf numFmtId="164" fontId="22" fillId="8" borderId="5" xfId="0" applyNumberFormat="1" applyFont="1" applyFill="1" applyBorder="1" applyAlignment="1">
      <alignment horizontal="center" vertical="center"/>
    </xf>
    <xf numFmtId="164" fontId="22" fillId="6" borderId="5" xfId="0" applyNumberFormat="1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left" vertical="center"/>
    </xf>
    <xf numFmtId="0" fontId="25" fillId="4" borderId="5" xfId="0" applyFont="1" applyFill="1" applyBorder="1" applyAlignment="1">
      <alignment horizontal="right" vertical="center"/>
    </xf>
    <xf numFmtId="164" fontId="26" fillId="4" borderId="5" xfId="0" applyNumberFormat="1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164" fontId="24" fillId="5" borderId="5" xfId="0" applyNumberFormat="1" applyFont="1" applyFill="1" applyBorder="1" applyAlignment="1">
      <alignment horizontal="center" vertical="center"/>
    </xf>
    <xf numFmtId="164" fontId="22" fillId="4" borderId="5" xfId="0" applyNumberFormat="1" applyFont="1" applyFill="1" applyBorder="1" applyAlignment="1">
      <alignment horizontal="center" vertical="center"/>
    </xf>
    <xf numFmtId="2" fontId="22" fillId="4" borderId="5" xfId="0" applyNumberFormat="1" applyFont="1" applyFill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64" fontId="26" fillId="5" borderId="5" xfId="0" applyNumberFormat="1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3" fontId="14" fillId="5" borderId="1" xfId="0" applyNumberFormat="1" applyFont="1" applyFill="1" applyBorder="1" applyAlignment="1">
      <alignment horizontal="center" vertical="center" wrapText="1"/>
    </xf>
    <xf numFmtId="168" fontId="14" fillId="5" borderId="1" xfId="0" applyNumberFormat="1" applyFont="1" applyFill="1" applyBorder="1" applyAlignment="1">
      <alignment horizontal="center" vertical="center" wrapText="1"/>
    </xf>
    <xf numFmtId="10" fontId="14" fillId="6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4" fillId="6" borderId="1" xfId="0" applyNumberFormat="1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164" fontId="32" fillId="4" borderId="1" xfId="0" applyNumberFormat="1" applyFont="1" applyFill="1" applyBorder="1" applyAlignment="1">
      <alignment horizontal="center" vertical="center" wrapText="1"/>
    </xf>
    <xf numFmtId="164" fontId="34" fillId="5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14" fillId="4" borderId="1" xfId="0" applyNumberFormat="1" applyFont="1" applyFill="1" applyBorder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center" vertical="center" wrapText="1"/>
    </xf>
    <xf numFmtId="169" fontId="14" fillId="4" borderId="1" xfId="0" applyNumberFormat="1" applyFont="1" applyFill="1" applyBorder="1" applyAlignment="1">
      <alignment horizontal="center" vertical="center" wrapText="1"/>
    </xf>
    <xf numFmtId="165" fontId="14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3" fontId="14" fillId="6" borderId="1" xfId="0" applyNumberFormat="1" applyFont="1" applyFill="1" applyBorder="1" applyAlignment="1">
      <alignment horizontal="center" vertical="center" wrapText="1"/>
    </xf>
    <xf numFmtId="2" fontId="14" fillId="6" borderId="1" xfId="0" applyNumberFormat="1" applyFont="1" applyFill="1" applyBorder="1" applyAlignment="1">
      <alignment horizontal="center" vertical="center" wrapText="1"/>
    </xf>
    <xf numFmtId="169" fontId="14" fillId="6" borderId="1" xfId="0" applyNumberFormat="1" applyFont="1" applyFill="1" applyBorder="1" applyAlignment="1">
      <alignment horizontal="center" vertical="center" wrapText="1"/>
    </xf>
    <xf numFmtId="165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" fontId="14" fillId="9" borderId="1" xfId="0" applyNumberFormat="1" applyFont="1" applyFill="1" applyBorder="1" applyAlignment="1">
      <alignment horizontal="center" vertical="center" wrapText="1"/>
    </xf>
    <xf numFmtId="3" fontId="14" fillId="9" borderId="1" xfId="0" applyNumberFormat="1" applyFont="1" applyFill="1" applyBorder="1" applyAlignment="1">
      <alignment horizontal="center" vertical="center" wrapText="1"/>
    </xf>
    <xf numFmtId="2" fontId="14" fillId="9" borderId="1" xfId="0" applyNumberFormat="1" applyFont="1" applyFill="1" applyBorder="1" applyAlignment="1">
      <alignment horizontal="center" vertical="center" wrapText="1"/>
    </xf>
    <xf numFmtId="169" fontId="14" fillId="9" borderId="1" xfId="0" applyNumberFormat="1" applyFont="1" applyFill="1" applyBorder="1" applyAlignment="1">
      <alignment horizontal="center" vertical="center" wrapText="1"/>
    </xf>
    <xf numFmtId="165" fontId="14" fillId="9" borderId="1" xfId="0" applyNumberFormat="1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left" vertical="center" wrapText="1"/>
    </xf>
    <xf numFmtId="165" fontId="14" fillId="5" borderId="1" xfId="0" applyNumberFormat="1" applyFont="1" applyFill="1" applyBorder="1" applyAlignment="1">
      <alignment horizontal="center" vertical="center" wrapText="1"/>
    </xf>
    <xf numFmtId="165" fontId="14" fillId="8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/>
    <xf numFmtId="0" fontId="19" fillId="3" borderId="0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left" vertical="center" wrapText="1"/>
    </xf>
    <xf numFmtId="0" fontId="21" fillId="3" borderId="5" xfId="0" applyFont="1" applyFill="1" applyBorder="1" applyAlignment="1">
      <alignment horizontal="left" vertical="center"/>
    </xf>
    <xf numFmtId="0" fontId="22" fillId="6" borderId="5" xfId="0" applyFont="1" applyFill="1" applyBorder="1" applyAlignment="1">
      <alignment horizontal="left" vertical="center" wrapText="1"/>
    </xf>
    <xf numFmtId="0" fontId="25" fillId="6" borderId="5" xfId="0" applyFont="1" applyFill="1" applyBorder="1" applyAlignment="1">
      <alignment horizontal="left" vertical="center"/>
    </xf>
    <xf numFmtId="0" fontId="27" fillId="2" borderId="5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 wrapText="1"/>
    </xf>
    <xf numFmtId="0" fontId="30" fillId="6" borderId="0" xfId="0" applyFont="1" applyFill="1" applyBorder="1" applyAlignment="1">
      <alignment horizontal="left" vertical="center" wrapText="1"/>
    </xf>
    <xf numFmtId="0" fontId="30" fillId="6" borderId="0" xfId="0" applyFont="1" applyFill="1" applyBorder="1" applyAlignment="1">
      <alignment horizontal="center" vertical="center" wrapText="1"/>
    </xf>
    <xf numFmtId="0" fontId="3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zoomScaleNormal="100" workbookViewId="0"/>
  </sheetViews>
  <sheetFormatPr defaultColWidth="8.7109375" defaultRowHeight="15" x14ac:dyDescent="0.25"/>
  <cols>
    <col min="1" max="1" width="3" style="15" customWidth="1"/>
    <col min="2" max="2" width="8" style="15" customWidth="1"/>
    <col min="3" max="4" width="18" style="15" customWidth="1"/>
    <col min="5" max="6" width="28" style="15" customWidth="1"/>
    <col min="7" max="7" width="18" style="15" customWidth="1"/>
    <col min="8" max="8" width="20" style="15" customWidth="1"/>
    <col min="9" max="9" width="15" style="15" customWidth="1"/>
  </cols>
  <sheetData>
    <row r="2" spans="2:9" ht="49.5" customHeight="1" x14ac:dyDescent="0.25">
      <c r="B2" s="14" t="s">
        <v>0</v>
      </c>
      <c r="C2" s="14"/>
      <c r="D2" s="14"/>
      <c r="E2" s="14"/>
      <c r="F2" s="14"/>
      <c r="G2" s="14"/>
      <c r="H2" s="14"/>
      <c r="I2" s="14"/>
    </row>
    <row r="3" spans="2:9" ht="36" customHeight="1" x14ac:dyDescent="0.25">
      <c r="B3" s="13" t="s">
        <v>1</v>
      </c>
      <c r="C3" s="13"/>
      <c r="D3" s="13"/>
      <c r="E3" s="13"/>
      <c r="F3" s="13"/>
      <c r="G3" s="13"/>
      <c r="H3" s="13"/>
      <c r="I3" s="13"/>
    </row>
    <row r="4" spans="2:9" ht="30" customHeight="1" x14ac:dyDescent="0.25">
      <c r="B4" s="13" t="s">
        <v>2</v>
      </c>
      <c r="C4" s="13"/>
      <c r="D4" s="13"/>
      <c r="E4" s="13"/>
      <c r="F4" s="13"/>
      <c r="G4" s="13"/>
      <c r="H4" s="13"/>
      <c r="I4" s="13"/>
    </row>
    <row r="6" spans="2:9" ht="15" customHeight="1" x14ac:dyDescent="0.25">
      <c r="B6" s="16" t="s">
        <v>3</v>
      </c>
      <c r="C6" s="16" t="s">
        <v>4</v>
      </c>
      <c r="E6" s="16" t="s">
        <v>5</v>
      </c>
      <c r="H6" s="16" t="s">
        <v>6</v>
      </c>
    </row>
    <row r="7" spans="2:9" ht="15" customHeight="1" x14ac:dyDescent="0.25">
      <c r="B7" s="17">
        <v>1</v>
      </c>
      <c r="C7" s="12" t="s">
        <v>7</v>
      </c>
      <c r="D7" s="12"/>
      <c r="E7" s="11" t="s">
        <v>8</v>
      </c>
      <c r="F7" s="11"/>
      <c r="G7" s="11"/>
      <c r="H7" s="19" t="s">
        <v>9</v>
      </c>
    </row>
    <row r="8" spans="2:9" ht="15" customHeight="1" x14ac:dyDescent="0.25">
      <c r="B8" s="17">
        <v>2</v>
      </c>
      <c r="C8" s="12" t="s">
        <v>10</v>
      </c>
      <c r="D8" s="12"/>
      <c r="E8" s="11" t="s">
        <v>11</v>
      </c>
      <c r="F8" s="11"/>
      <c r="G8" s="11"/>
      <c r="H8" s="19" t="s">
        <v>12</v>
      </c>
    </row>
    <row r="9" spans="2:9" ht="15" customHeight="1" x14ac:dyDescent="0.25">
      <c r="B9" s="17">
        <v>3</v>
      </c>
      <c r="C9" s="12" t="s">
        <v>13</v>
      </c>
      <c r="D9" s="12"/>
      <c r="E9" s="11" t="s">
        <v>14</v>
      </c>
      <c r="F9" s="11"/>
      <c r="G9" s="11"/>
      <c r="H9" s="19" t="s">
        <v>15</v>
      </c>
    </row>
    <row r="10" spans="2:9" ht="15" customHeight="1" x14ac:dyDescent="0.25">
      <c r="B10" s="17">
        <v>4</v>
      </c>
      <c r="C10" s="12" t="s">
        <v>16</v>
      </c>
      <c r="D10" s="12"/>
      <c r="E10" s="11" t="s">
        <v>17</v>
      </c>
      <c r="F10" s="11"/>
      <c r="G10" s="11"/>
      <c r="H10" s="19" t="s">
        <v>18</v>
      </c>
    </row>
    <row r="11" spans="2:9" ht="15" customHeight="1" x14ac:dyDescent="0.25">
      <c r="B11" s="17">
        <v>5</v>
      </c>
      <c r="C11" s="12" t="s">
        <v>19</v>
      </c>
      <c r="D11" s="12"/>
      <c r="E11" s="11" t="s">
        <v>20</v>
      </c>
      <c r="F11" s="11"/>
      <c r="G11" s="11"/>
      <c r="H11" s="19" t="s">
        <v>21</v>
      </c>
    </row>
    <row r="12" spans="2:9" ht="15" customHeight="1" x14ac:dyDescent="0.25">
      <c r="B12" s="17">
        <v>6</v>
      </c>
      <c r="C12" s="12" t="s">
        <v>22</v>
      </c>
      <c r="D12" s="12"/>
      <c r="E12" s="11" t="s">
        <v>23</v>
      </c>
      <c r="F12" s="11"/>
      <c r="G12" s="11"/>
      <c r="H12" s="19" t="s">
        <v>24</v>
      </c>
    </row>
    <row r="13" spans="2:9" ht="15" customHeight="1" x14ac:dyDescent="0.25">
      <c r="B13" s="17">
        <v>7</v>
      </c>
      <c r="C13" s="12" t="s">
        <v>25</v>
      </c>
      <c r="D13" s="12"/>
      <c r="E13" s="11" t="s">
        <v>26</v>
      </c>
      <c r="F13" s="11"/>
      <c r="G13" s="11"/>
      <c r="H13" s="19" t="s">
        <v>27</v>
      </c>
    </row>
    <row r="14" spans="2:9" ht="15" customHeight="1" x14ac:dyDescent="0.25">
      <c r="B14" s="17">
        <v>8</v>
      </c>
      <c r="C14" s="12" t="s">
        <v>28</v>
      </c>
      <c r="D14" s="12"/>
      <c r="E14" s="11" t="s">
        <v>29</v>
      </c>
      <c r="F14" s="11"/>
      <c r="G14" s="11"/>
      <c r="H14" s="19" t="s">
        <v>30</v>
      </c>
    </row>
    <row r="16" spans="2:9" ht="15" customHeight="1" x14ac:dyDescent="0.25">
      <c r="B16" s="10" t="s">
        <v>31</v>
      </c>
      <c r="C16" s="10"/>
      <c r="D16" s="10"/>
      <c r="E16" s="10"/>
      <c r="F16" s="10"/>
      <c r="G16" s="10"/>
      <c r="H16" s="10"/>
      <c r="I16" s="10"/>
    </row>
  </sheetData>
  <mergeCells count="20">
    <mergeCell ref="C14:D14"/>
    <mergeCell ref="E14:G14"/>
    <mergeCell ref="B16:I16"/>
    <mergeCell ref="C11:D11"/>
    <mergeCell ref="E11:G11"/>
    <mergeCell ref="C12:D12"/>
    <mergeCell ref="E12:G12"/>
    <mergeCell ref="C13:D13"/>
    <mergeCell ref="E13:G13"/>
    <mergeCell ref="C8:D8"/>
    <mergeCell ref="E8:G8"/>
    <mergeCell ref="C9:D9"/>
    <mergeCell ref="E9:G9"/>
    <mergeCell ref="C10:D10"/>
    <mergeCell ref="E10:G10"/>
    <mergeCell ref="B2:I2"/>
    <mergeCell ref="B3:I3"/>
    <mergeCell ref="B4:I4"/>
    <mergeCell ref="C7:D7"/>
    <mergeCell ref="E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Normal="100" workbookViewId="0">
      <selection activeCell="L15" sqref="L15"/>
    </sheetView>
  </sheetViews>
  <sheetFormatPr defaultColWidth="8.7109375" defaultRowHeight="15" x14ac:dyDescent="0.25"/>
  <cols>
    <col min="1" max="1" width="5" style="15" customWidth="1"/>
    <col min="2" max="2" width="30" style="15" customWidth="1"/>
    <col min="3" max="3" width="14" style="15" customWidth="1"/>
    <col min="4" max="4" width="12" style="15" customWidth="1"/>
    <col min="5" max="5" width="18" style="15" customWidth="1"/>
    <col min="6" max="6" width="10" style="15" customWidth="1"/>
    <col min="7" max="7" width="14" style="15" customWidth="1"/>
    <col min="8" max="8" width="12" style="15" customWidth="1"/>
    <col min="9" max="10" width="14" style="15" customWidth="1"/>
    <col min="11" max="11" width="16" style="15" customWidth="1"/>
    <col min="12" max="12" width="12" style="15" customWidth="1"/>
    <col min="13" max="13" width="14" style="15" customWidth="1"/>
  </cols>
  <sheetData>
    <row r="1" spans="1:13" ht="30" customHeight="1" x14ac:dyDescent="0.25">
      <c r="A1" s="9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8" customHeight="1" x14ac:dyDescent="0.25">
      <c r="A2" s="8" t="s">
        <v>33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1.5" customHeight="1" x14ac:dyDescent="0.25">
      <c r="A3" s="16" t="s">
        <v>34</v>
      </c>
      <c r="B3" s="16" t="s">
        <v>35</v>
      </c>
      <c r="C3" s="16" t="s">
        <v>36</v>
      </c>
      <c r="D3" s="16" t="s">
        <v>37</v>
      </c>
      <c r="E3" s="16" t="s">
        <v>38</v>
      </c>
      <c r="F3" s="16" t="s">
        <v>39</v>
      </c>
      <c r="G3" s="16" t="s">
        <v>40</v>
      </c>
      <c r="H3" s="16" t="s">
        <v>41</v>
      </c>
      <c r="I3" s="16" t="s">
        <v>42</v>
      </c>
      <c r="J3" s="16" t="s">
        <v>43</v>
      </c>
      <c r="K3" s="16" t="s">
        <v>44</v>
      </c>
      <c r="L3" s="16" t="s">
        <v>45</v>
      </c>
      <c r="M3" s="16" t="s">
        <v>46</v>
      </c>
    </row>
    <row r="4" spans="1:13" ht="15" customHeight="1" x14ac:dyDescent="0.25">
      <c r="A4" s="20">
        <v>1</v>
      </c>
      <c r="B4" s="21" t="s">
        <v>47</v>
      </c>
      <c r="C4" s="22">
        <v>110.2037</v>
      </c>
      <c r="D4" s="22">
        <v>-7.6078999999999999</v>
      </c>
      <c r="E4" s="23">
        <v>1250000</v>
      </c>
      <c r="F4" s="24">
        <v>4.9000000000000004</v>
      </c>
      <c r="G4" s="24">
        <v>5</v>
      </c>
      <c r="H4" s="24">
        <v>5</v>
      </c>
      <c r="I4" s="24">
        <v>4</v>
      </c>
      <c r="J4" s="24">
        <v>5</v>
      </c>
      <c r="K4" s="23">
        <v>18500</v>
      </c>
      <c r="L4" s="25">
        <v>0.123</v>
      </c>
      <c r="M4" s="24" t="s">
        <v>48</v>
      </c>
    </row>
    <row r="5" spans="1:13" ht="15" customHeight="1" x14ac:dyDescent="0.25">
      <c r="A5" s="20">
        <v>2</v>
      </c>
      <c r="B5" s="21" t="s">
        <v>49</v>
      </c>
      <c r="C5" s="22">
        <v>110.1952</v>
      </c>
      <c r="D5" s="22">
        <v>-7.6025</v>
      </c>
      <c r="E5" s="23">
        <v>185000</v>
      </c>
      <c r="F5" s="24">
        <v>4.7</v>
      </c>
      <c r="G5" s="24">
        <v>3</v>
      </c>
      <c r="H5" s="24">
        <v>3</v>
      </c>
      <c r="I5" s="24">
        <v>5</v>
      </c>
      <c r="J5" s="24">
        <v>4</v>
      </c>
      <c r="K5" s="23">
        <v>2800</v>
      </c>
      <c r="L5" s="25">
        <v>0.185</v>
      </c>
      <c r="M5" s="24" t="s">
        <v>48</v>
      </c>
    </row>
    <row r="6" spans="1:13" ht="15" customHeight="1" x14ac:dyDescent="0.25">
      <c r="A6" s="20">
        <v>3</v>
      </c>
      <c r="B6" s="21" t="s">
        <v>50</v>
      </c>
      <c r="C6" s="22">
        <v>110.2105</v>
      </c>
      <c r="D6" s="22">
        <v>-7.6112000000000002</v>
      </c>
      <c r="E6" s="23">
        <v>95000</v>
      </c>
      <c r="F6" s="24">
        <v>4.2</v>
      </c>
      <c r="G6" s="24">
        <v>4</v>
      </c>
      <c r="H6" s="24">
        <v>3</v>
      </c>
      <c r="I6" s="24">
        <v>3</v>
      </c>
      <c r="J6" s="24">
        <v>5</v>
      </c>
      <c r="K6" s="23">
        <v>850</v>
      </c>
      <c r="L6" s="25">
        <v>8.2000000000000003E-2</v>
      </c>
      <c r="M6" s="24" t="s">
        <v>51</v>
      </c>
    </row>
    <row r="7" spans="1:13" ht="15" customHeight="1" x14ac:dyDescent="0.25">
      <c r="A7" s="20">
        <v>4</v>
      </c>
      <c r="B7" s="21" t="s">
        <v>52</v>
      </c>
      <c r="C7" s="22">
        <v>110.2278</v>
      </c>
      <c r="D7" s="22">
        <v>-7.5995999999999997</v>
      </c>
      <c r="E7" s="23">
        <v>125000</v>
      </c>
      <c r="F7" s="24">
        <v>4.3</v>
      </c>
      <c r="G7" s="24">
        <v>4</v>
      </c>
      <c r="H7" s="24">
        <v>4</v>
      </c>
      <c r="I7" s="24">
        <v>3</v>
      </c>
      <c r="J7" s="24">
        <v>5</v>
      </c>
      <c r="K7" s="23">
        <v>1200</v>
      </c>
      <c r="L7" s="25">
        <v>9.5000000000000001E-2</v>
      </c>
      <c r="M7" s="24" t="s">
        <v>51</v>
      </c>
    </row>
    <row r="8" spans="1:13" ht="15" customHeight="1" x14ac:dyDescent="0.25">
      <c r="A8" s="20">
        <v>5</v>
      </c>
      <c r="B8" s="21" t="s">
        <v>53</v>
      </c>
      <c r="C8" s="22">
        <v>110.2564</v>
      </c>
      <c r="D8" s="22">
        <v>-7.5846999999999998</v>
      </c>
      <c r="E8" s="23">
        <v>210000</v>
      </c>
      <c r="F8" s="24">
        <v>4.5</v>
      </c>
      <c r="G8" s="24">
        <v>3</v>
      </c>
      <c r="H8" s="24">
        <v>4</v>
      </c>
      <c r="I8" s="24">
        <v>5</v>
      </c>
      <c r="J8" s="24">
        <v>3</v>
      </c>
      <c r="K8" s="23">
        <v>3100</v>
      </c>
      <c r="L8" s="25">
        <v>0.157</v>
      </c>
      <c r="M8" s="24" t="s">
        <v>48</v>
      </c>
    </row>
    <row r="9" spans="1:13" ht="15" customHeight="1" x14ac:dyDescent="0.25">
      <c r="A9" s="20">
        <v>6</v>
      </c>
      <c r="B9" s="21" t="s">
        <v>54</v>
      </c>
      <c r="C9" s="22">
        <v>110.4012</v>
      </c>
      <c r="D9" s="22">
        <v>-7.3985000000000003</v>
      </c>
      <c r="E9" s="23">
        <v>98000</v>
      </c>
      <c r="F9" s="24">
        <v>3.8</v>
      </c>
      <c r="G9" s="24">
        <v>3</v>
      </c>
      <c r="H9" s="24">
        <v>3</v>
      </c>
      <c r="I9" s="24">
        <v>4</v>
      </c>
      <c r="J9" s="24">
        <v>2</v>
      </c>
      <c r="K9" s="23">
        <v>780</v>
      </c>
      <c r="L9" s="25">
        <v>5.2999999999999999E-2</v>
      </c>
      <c r="M9" s="24" t="s">
        <v>55</v>
      </c>
    </row>
    <row r="10" spans="1:13" ht="15" customHeight="1" x14ac:dyDescent="0.25">
      <c r="A10" s="20">
        <v>7</v>
      </c>
      <c r="B10" s="21" t="s">
        <v>56</v>
      </c>
      <c r="C10" s="22">
        <v>110.2689</v>
      </c>
      <c r="D10" s="22">
        <v>-7.5712000000000002</v>
      </c>
      <c r="E10" s="23">
        <v>42000</v>
      </c>
      <c r="F10" s="24">
        <v>4.4000000000000004</v>
      </c>
      <c r="G10" s="24">
        <v>2</v>
      </c>
      <c r="H10" s="24">
        <v>2</v>
      </c>
      <c r="I10" s="24">
        <v>5</v>
      </c>
      <c r="J10" s="24">
        <v>2</v>
      </c>
      <c r="K10" s="23">
        <v>320</v>
      </c>
      <c r="L10" s="25">
        <v>0.221</v>
      </c>
      <c r="M10" s="24" t="s">
        <v>55</v>
      </c>
    </row>
    <row r="11" spans="1:13" ht="15" customHeight="1" x14ac:dyDescent="0.25">
      <c r="A11" s="20">
        <v>8</v>
      </c>
      <c r="B11" s="21" t="s">
        <v>57</v>
      </c>
      <c r="C11" s="22">
        <v>110.3215</v>
      </c>
      <c r="D11" s="22">
        <v>-7.4823000000000004</v>
      </c>
      <c r="E11" s="23">
        <v>35000</v>
      </c>
      <c r="F11" s="24">
        <v>3.9</v>
      </c>
      <c r="G11" s="24">
        <v>2</v>
      </c>
      <c r="H11" s="24">
        <v>2</v>
      </c>
      <c r="I11" s="24">
        <v>4</v>
      </c>
      <c r="J11" s="24">
        <v>2</v>
      </c>
      <c r="K11" s="23">
        <v>280</v>
      </c>
      <c r="L11" s="25">
        <v>0.11799999999999999</v>
      </c>
      <c r="M11" s="24" t="s">
        <v>55</v>
      </c>
    </row>
    <row r="12" spans="1:13" ht="15" customHeight="1" x14ac:dyDescent="0.25">
      <c r="A12" s="20">
        <v>9</v>
      </c>
      <c r="B12" s="21" t="s">
        <v>58</v>
      </c>
      <c r="C12" s="22">
        <v>110.2021</v>
      </c>
      <c r="D12" s="22">
        <v>-7.6037999999999997</v>
      </c>
      <c r="E12" s="23">
        <v>165000</v>
      </c>
      <c r="F12" s="24">
        <v>4.5999999999999996</v>
      </c>
      <c r="G12" s="24">
        <v>3</v>
      </c>
      <c r="H12" s="24">
        <v>3</v>
      </c>
      <c r="I12" s="24">
        <v>4</v>
      </c>
      <c r="J12" s="24">
        <v>4</v>
      </c>
      <c r="K12" s="23">
        <v>2100</v>
      </c>
      <c r="L12" s="25">
        <v>0.35199999999999998</v>
      </c>
      <c r="M12" s="24" t="s">
        <v>48</v>
      </c>
    </row>
    <row r="13" spans="1:13" ht="15" customHeight="1" x14ac:dyDescent="0.25">
      <c r="A13" s="20">
        <v>10</v>
      </c>
      <c r="B13" s="21" t="s">
        <v>59</v>
      </c>
      <c r="C13" s="22">
        <v>110.2334</v>
      </c>
      <c r="D13" s="22">
        <v>-7.5697999999999999</v>
      </c>
      <c r="E13" s="23">
        <v>28000</v>
      </c>
      <c r="F13" s="24">
        <v>4.0999999999999996</v>
      </c>
      <c r="G13" s="24">
        <v>2</v>
      </c>
      <c r="H13" s="24">
        <v>2</v>
      </c>
      <c r="I13" s="24">
        <v>5</v>
      </c>
      <c r="J13" s="24">
        <v>3</v>
      </c>
      <c r="K13" s="23">
        <v>210</v>
      </c>
      <c r="L13" s="25">
        <v>0.28399999999999997</v>
      </c>
      <c r="M13" s="24" t="s">
        <v>55</v>
      </c>
    </row>
    <row r="14" spans="1:13" ht="15" customHeight="1" x14ac:dyDescent="0.25">
      <c r="A14" s="20">
        <v>11</v>
      </c>
      <c r="B14" s="21" t="s">
        <v>60</v>
      </c>
      <c r="C14" s="22">
        <v>110.2039</v>
      </c>
      <c r="D14" s="22">
        <v>-7.6082000000000001</v>
      </c>
      <c r="E14" s="23">
        <v>87000</v>
      </c>
      <c r="F14" s="24">
        <v>4</v>
      </c>
      <c r="G14" s="24">
        <v>5</v>
      </c>
      <c r="H14" s="24">
        <v>4</v>
      </c>
      <c r="I14" s="24">
        <v>2</v>
      </c>
      <c r="J14" s="24">
        <v>5</v>
      </c>
      <c r="K14" s="23">
        <v>650</v>
      </c>
      <c r="L14" s="25">
        <v>6.0999999999999999E-2</v>
      </c>
      <c r="M14" s="24" t="s">
        <v>51</v>
      </c>
    </row>
    <row r="15" spans="1:13" ht="15" customHeight="1" x14ac:dyDescent="0.25">
      <c r="A15" s="20">
        <v>12</v>
      </c>
      <c r="B15" s="21" t="s">
        <v>61</v>
      </c>
      <c r="C15" s="22">
        <v>110.2176</v>
      </c>
      <c r="D15" s="22">
        <v>-7.4721000000000002</v>
      </c>
      <c r="E15" s="23">
        <v>145000</v>
      </c>
      <c r="F15" s="24">
        <v>3.7</v>
      </c>
      <c r="G15" s="24">
        <v>4</v>
      </c>
      <c r="H15" s="24">
        <v>4</v>
      </c>
      <c r="I15" s="24">
        <v>3</v>
      </c>
      <c r="J15" s="24">
        <v>3</v>
      </c>
      <c r="K15" s="23">
        <v>1850</v>
      </c>
      <c r="L15" s="25">
        <v>4.2000000000000003E-2</v>
      </c>
      <c r="M15" s="24" t="s">
        <v>51</v>
      </c>
    </row>
    <row r="16" spans="1:13" ht="15" customHeight="1" x14ac:dyDescent="0.25">
      <c r="A16" s="20">
        <v>13</v>
      </c>
      <c r="B16" s="21" t="s">
        <v>62</v>
      </c>
      <c r="C16" s="22">
        <v>110.41249999999999</v>
      </c>
      <c r="D16" s="22">
        <v>-7.4356</v>
      </c>
      <c r="E16" s="23">
        <v>55000</v>
      </c>
      <c r="F16" s="24">
        <v>4.5</v>
      </c>
      <c r="G16" s="24">
        <v>2</v>
      </c>
      <c r="H16" s="24">
        <v>2</v>
      </c>
      <c r="I16" s="24">
        <v>5</v>
      </c>
      <c r="J16" s="24">
        <v>2</v>
      </c>
      <c r="K16" s="23">
        <v>420</v>
      </c>
      <c r="L16" s="25">
        <v>0.316</v>
      </c>
      <c r="M16" s="24" t="s">
        <v>55</v>
      </c>
    </row>
    <row r="17" spans="1:13" ht="15" customHeight="1" x14ac:dyDescent="0.25">
      <c r="A17" s="20">
        <v>14</v>
      </c>
      <c r="B17" s="21" t="s">
        <v>63</v>
      </c>
      <c r="C17" s="22">
        <v>110.38760000000001</v>
      </c>
      <c r="D17" s="22">
        <v>-7.3654000000000002</v>
      </c>
      <c r="E17" s="23">
        <v>32000</v>
      </c>
      <c r="F17" s="24">
        <v>4.2</v>
      </c>
      <c r="G17" s="24">
        <v>2</v>
      </c>
      <c r="H17" s="24">
        <v>2</v>
      </c>
      <c r="I17" s="24">
        <v>5</v>
      </c>
      <c r="J17" s="24">
        <v>2</v>
      </c>
      <c r="K17" s="23">
        <v>245</v>
      </c>
      <c r="L17" s="25">
        <v>0.19800000000000001</v>
      </c>
      <c r="M17" s="24" t="s">
        <v>55</v>
      </c>
    </row>
    <row r="18" spans="1:13" ht="15" customHeight="1" x14ac:dyDescent="0.25">
      <c r="A18" s="20">
        <v>15</v>
      </c>
      <c r="B18" s="21" t="s">
        <v>64</v>
      </c>
      <c r="C18" s="22">
        <v>110.1998</v>
      </c>
      <c r="D18" s="22">
        <v>-7.5987</v>
      </c>
      <c r="E18" s="23">
        <v>45000</v>
      </c>
      <c r="F18" s="24">
        <v>4.3</v>
      </c>
      <c r="G18" s="24">
        <v>2</v>
      </c>
      <c r="H18" s="24">
        <v>2</v>
      </c>
      <c r="I18" s="24">
        <v>5</v>
      </c>
      <c r="J18" s="24">
        <v>4</v>
      </c>
      <c r="K18" s="23">
        <v>380</v>
      </c>
      <c r="L18" s="25">
        <v>0.41199999999999998</v>
      </c>
      <c r="M18" s="24" t="s">
        <v>55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C1" zoomScaleNormal="100" workbookViewId="0">
      <selection activeCell="K5" sqref="K5"/>
    </sheetView>
  </sheetViews>
  <sheetFormatPr defaultColWidth="8.7109375" defaultRowHeight="15" x14ac:dyDescent="0.25"/>
  <cols>
    <col min="1" max="1" width="5" style="15" customWidth="1"/>
    <col min="2" max="2" width="30" style="15" customWidth="1"/>
    <col min="3" max="12" width="12" style="15" customWidth="1"/>
  </cols>
  <sheetData>
    <row r="1" spans="1:12" ht="27.75" customHeight="1" x14ac:dyDescent="0.25">
      <c r="A1" s="7" t="s">
        <v>65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5">
      <c r="A2" s="6" t="s">
        <v>66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1.75" customHeight="1" x14ac:dyDescent="0.25">
      <c r="A3" s="5" t="s">
        <v>67</v>
      </c>
      <c r="B3" s="5"/>
      <c r="C3" s="16" t="s">
        <v>68</v>
      </c>
      <c r="D3" s="16" t="s">
        <v>69</v>
      </c>
      <c r="E3" s="16" t="s">
        <v>70</v>
      </c>
      <c r="F3" s="16" t="s">
        <v>71</v>
      </c>
      <c r="G3" s="16" t="s">
        <v>72</v>
      </c>
      <c r="H3" s="16" t="s">
        <v>73</v>
      </c>
      <c r="I3" s="16" t="s">
        <v>74</v>
      </c>
      <c r="J3" s="16" t="s">
        <v>75</v>
      </c>
      <c r="K3" s="16" t="s">
        <v>76</v>
      </c>
      <c r="L3" s="26" t="s">
        <v>77</v>
      </c>
    </row>
    <row r="4" spans="1:12" ht="15" customHeight="1" x14ac:dyDescent="0.25">
      <c r="A4" s="4" t="s">
        <v>78</v>
      </c>
      <c r="B4" s="4"/>
      <c r="C4" s="27">
        <f>MIN('1_Dataset'!C4:C18)</f>
        <v>110.1952</v>
      </c>
      <c r="D4" s="27">
        <f>MIN('1_Dataset'!D4:D18)</f>
        <v>-7.6112000000000002</v>
      </c>
      <c r="E4" s="27">
        <f>MIN('1_Dataset'!E4:E18)</f>
        <v>28000</v>
      </c>
      <c r="F4" s="27">
        <f>MIN('1_Dataset'!F4:F18)</f>
        <v>3.7</v>
      </c>
      <c r="G4" s="27">
        <f>MIN('1_Dataset'!G4:G18)</f>
        <v>2</v>
      </c>
      <c r="H4" s="27">
        <f>MIN('1_Dataset'!H4:H18)</f>
        <v>2</v>
      </c>
      <c r="I4" s="27">
        <f>MIN('1_Dataset'!I4:I18)</f>
        <v>2</v>
      </c>
      <c r="J4" s="27">
        <f>MIN('1_Dataset'!J4:J18)</f>
        <v>2</v>
      </c>
      <c r="K4" s="27">
        <f>MIN('1_Dataset'!K4:K18)</f>
        <v>210</v>
      </c>
      <c r="L4" s="27">
        <f>MIN('1_Dataset'!L4:L18)</f>
        <v>4.2000000000000003E-2</v>
      </c>
    </row>
    <row r="5" spans="1:12" ht="15" customHeight="1" x14ac:dyDescent="0.25">
      <c r="A5" s="4" t="s">
        <v>79</v>
      </c>
      <c r="B5" s="4"/>
      <c r="C5" s="27">
        <f>MAX('1_Dataset'!C4:C18)</f>
        <v>110.41249999999999</v>
      </c>
      <c r="D5" s="27">
        <f>MAX('1_Dataset'!D4:D18)</f>
        <v>-7.3654000000000002</v>
      </c>
      <c r="E5" s="27">
        <f>MAX('1_Dataset'!E4:E18)</f>
        <v>1250000</v>
      </c>
      <c r="F5" s="27">
        <f>MAX('1_Dataset'!F4:F18)</f>
        <v>4.9000000000000004</v>
      </c>
      <c r="G5" s="27">
        <f>MAX('1_Dataset'!G4:G18)</f>
        <v>5</v>
      </c>
      <c r="H5" s="27">
        <f>MAX('1_Dataset'!H4:H18)</f>
        <v>5</v>
      </c>
      <c r="I5" s="27">
        <f>MAX('1_Dataset'!I4:I18)</f>
        <v>5</v>
      </c>
      <c r="J5" s="27">
        <f>MAX('1_Dataset'!J4:J18)</f>
        <v>5</v>
      </c>
      <c r="K5" s="27">
        <f>MAX('1_Dataset'!K4:K18)</f>
        <v>18500</v>
      </c>
      <c r="L5" s="27">
        <f>MAX('1_Dataset'!L4:L18)</f>
        <v>0.41199999999999998</v>
      </c>
    </row>
    <row r="6" spans="1:12" ht="15" customHeight="1" x14ac:dyDescent="0.25">
      <c r="A6" s="3" t="s">
        <v>80</v>
      </c>
      <c r="B6" s="3"/>
      <c r="C6" s="27">
        <f t="shared" ref="C6:L6" si="0">C5-C4</f>
        <v>0.2172999999999945</v>
      </c>
      <c r="D6" s="27">
        <f t="shared" si="0"/>
        <v>0.24580000000000002</v>
      </c>
      <c r="E6" s="27">
        <f t="shared" si="0"/>
        <v>1222000</v>
      </c>
      <c r="F6" s="27">
        <f t="shared" si="0"/>
        <v>1.2000000000000002</v>
      </c>
      <c r="G6" s="27">
        <f t="shared" si="0"/>
        <v>3</v>
      </c>
      <c r="H6" s="27">
        <f t="shared" si="0"/>
        <v>3</v>
      </c>
      <c r="I6" s="27">
        <f t="shared" si="0"/>
        <v>3</v>
      </c>
      <c r="J6" s="27">
        <f t="shared" si="0"/>
        <v>3</v>
      </c>
      <c r="K6" s="27">
        <f t="shared" si="0"/>
        <v>18290</v>
      </c>
      <c r="L6" s="27">
        <f t="shared" si="0"/>
        <v>0.37</v>
      </c>
    </row>
    <row r="7" spans="1:12" ht="30" customHeight="1" x14ac:dyDescent="0.25">
      <c r="A7" s="16" t="s">
        <v>34</v>
      </c>
      <c r="B7" s="16" t="s">
        <v>35</v>
      </c>
      <c r="C7" s="16" t="s">
        <v>81</v>
      </c>
      <c r="D7" s="16" t="s">
        <v>82</v>
      </c>
      <c r="E7" s="16" t="s">
        <v>83</v>
      </c>
      <c r="F7" s="16" t="s">
        <v>84</v>
      </c>
      <c r="G7" s="16" t="s">
        <v>85</v>
      </c>
      <c r="H7" s="16" t="s">
        <v>86</v>
      </c>
      <c r="I7" s="16" t="s">
        <v>87</v>
      </c>
      <c r="J7" s="16" t="s">
        <v>88</v>
      </c>
      <c r="K7" s="16" t="s">
        <v>89</v>
      </c>
      <c r="L7" s="16" t="s">
        <v>90</v>
      </c>
    </row>
    <row r="8" spans="1:12" ht="15" customHeight="1" x14ac:dyDescent="0.25">
      <c r="A8" s="28">
        <f>'1_Dataset'!A4</f>
        <v>1</v>
      </c>
      <c r="B8" s="18" t="str">
        <f>'1_Dataset'!B4</f>
        <v>Candi Borobudur</v>
      </c>
      <c r="C8" s="27">
        <f>IF(C$6=0,0,('1_Dataset'!C4-C$4)/C$6)</f>
        <v>3.9116428900129632E-2</v>
      </c>
      <c r="D8" s="27">
        <f>IF(D$6=0,0,('1_Dataset'!D4-D$4)/D$6)</f>
        <v>1.3425549227015063E-2</v>
      </c>
      <c r="E8" s="27">
        <f>IF(E$6=0,0,('1_Dataset'!E4-E$4)/E$6)</f>
        <v>1</v>
      </c>
      <c r="F8" s="27">
        <f>IF(F$6=0,0,('1_Dataset'!F4-F$4)/F$6)</f>
        <v>1</v>
      </c>
      <c r="G8" s="27">
        <f>IF(G$6=0,0,('1_Dataset'!G4-G$4)/G$6)</f>
        <v>1</v>
      </c>
      <c r="H8" s="27">
        <f>IF(H$6=0,0,('1_Dataset'!H4-H$4)/H$6)</f>
        <v>1</v>
      </c>
      <c r="I8" s="27">
        <f>IF(I$6=0,0,('1_Dataset'!I4-I$4)/I$6)</f>
        <v>0.66666666666666663</v>
      </c>
      <c r="J8" s="27">
        <f>IF(J$6=0,0,('1_Dataset'!J4-J$4)/J$6)</f>
        <v>1</v>
      </c>
      <c r="K8" s="27">
        <f>IF(K$6=0,0,('1_Dataset'!K4-K$4)/K$6)</f>
        <v>1</v>
      </c>
      <c r="L8" s="27">
        <f>IF(L$6=0,0,('1_Dataset'!L4-L$4)/L$6)</f>
        <v>0.2189189189189189</v>
      </c>
    </row>
    <row r="9" spans="1:12" ht="15" customHeight="1" x14ac:dyDescent="0.25">
      <c r="A9" s="28">
        <f>'1_Dataset'!A5</f>
        <v>2</v>
      </c>
      <c r="B9" s="18" t="str">
        <f>'1_Dataset'!B5</f>
        <v>Punthuk Setumbu</v>
      </c>
      <c r="C9" s="27">
        <f>IF(C$6=0,0,('1_Dataset'!C5-C$4)/C$6)</f>
        <v>0</v>
      </c>
      <c r="D9" s="27">
        <f>IF(D$6=0,0,('1_Dataset'!D5-D$4)/D$6)</f>
        <v>3.5394629780309814E-2</v>
      </c>
      <c r="E9" s="27">
        <f>IF(E$6=0,0,('1_Dataset'!E5-E$4)/E$6)</f>
        <v>0.12847790507364976</v>
      </c>
      <c r="F9" s="27">
        <f>IF(F$6=0,0,('1_Dataset'!F5-F$4)/F$6)</f>
        <v>0.83333333333333326</v>
      </c>
      <c r="G9" s="27">
        <f>IF(G$6=0,0,('1_Dataset'!G5-G$4)/G$6)</f>
        <v>0.33333333333333331</v>
      </c>
      <c r="H9" s="27">
        <f>IF(H$6=0,0,('1_Dataset'!H5-H$4)/H$6)</f>
        <v>0.33333333333333331</v>
      </c>
      <c r="I9" s="27">
        <f>IF(I$6=0,0,('1_Dataset'!I5-I$4)/I$6)</f>
        <v>1</v>
      </c>
      <c r="J9" s="27">
        <f>IF(J$6=0,0,('1_Dataset'!J5-J$4)/J$6)</f>
        <v>0.66666666666666663</v>
      </c>
      <c r="K9" s="27">
        <f>IF(K$6=0,0,('1_Dataset'!K5-K$4)/K$6)</f>
        <v>0.14160743575724438</v>
      </c>
      <c r="L9" s="27">
        <f>IF(L$6=0,0,('1_Dataset'!L5-L$4)/L$6)</f>
        <v>0.38648648648648648</v>
      </c>
    </row>
    <row r="10" spans="1:12" ht="15" customHeight="1" x14ac:dyDescent="0.25">
      <c r="A10" s="28">
        <f>'1_Dataset'!A6</f>
        <v>3</v>
      </c>
      <c r="B10" s="18" t="str">
        <f>'1_Dataset'!B6</f>
        <v>Candi Pawon</v>
      </c>
      <c r="C10" s="27">
        <f>IF(C$6=0,0,('1_Dataset'!C6-C$4)/C$6)</f>
        <v>7.0409572020233333E-2</v>
      </c>
      <c r="D10" s="27">
        <f>IF(D$6=0,0,('1_Dataset'!D6-D$4)/D$6)</f>
        <v>0</v>
      </c>
      <c r="E10" s="27">
        <f>IF(E$6=0,0,('1_Dataset'!E6-E$4)/E$6)</f>
        <v>5.4828150572831427E-2</v>
      </c>
      <c r="F10" s="27">
        <f>IF(F$6=0,0,('1_Dataset'!F6-F$4)/F$6)</f>
        <v>0.41666666666666663</v>
      </c>
      <c r="G10" s="27">
        <f>IF(G$6=0,0,('1_Dataset'!G6-G$4)/G$6)</f>
        <v>0.66666666666666663</v>
      </c>
      <c r="H10" s="27">
        <f>IF(H$6=0,0,('1_Dataset'!H6-H$4)/H$6)</f>
        <v>0.33333333333333331</v>
      </c>
      <c r="I10" s="27">
        <f>IF(I$6=0,0,('1_Dataset'!I6-I$4)/I$6)</f>
        <v>0.33333333333333331</v>
      </c>
      <c r="J10" s="27">
        <f>IF(J$6=0,0,('1_Dataset'!J6-J$4)/J$6)</f>
        <v>1</v>
      </c>
      <c r="K10" s="27">
        <f>IF(K$6=0,0,('1_Dataset'!K6-K$4)/K$6)</f>
        <v>3.4991798797156914E-2</v>
      </c>
      <c r="L10" s="27">
        <f>IF(L$6=0,0,('1_Dataset'!L6-L$4)/L$6)</f>
        <v>0.10810810810810811</v>
      </c>
    </row>
    <row r="11" spans="1:12" ht="15" customHeight="1" x14ac:dyDescent="0.25">
      <c r="A11" s="28">
        <f>'1_Dataset'!A7</f>
        <v>4</v>
      </c>
      <c r="B11" s="18" t="str">
        <f>'1_Dataset'!B7</f>
        <v>Candi Mendut</v>
      </c>
      <c r="C11" s="27">
        <f>IF(C$6=0,0,('1_Dataset'!C7-C$4)/C$6)</f>
        <v>0.15002300966407275</v>
      </c>
      <c r="D11" s="27">
        <f>IF(D$6=0,0,('1_Dataset'!D7-D$4)/D$6)</f>
        <v>4.719283970708095E-2</v>
      </c>
      <c r="E11" s="27">
        <f>IF(E$6=0,0,('1_Dataset'!E7-E$4)/E$6)</f>
        <v>7.9378068739770866E-2</v>
      </c>
      <c r="F11" s="27">
        <f>IF(F$6=0,0,('1_Dataset'!F7-F$4)/F$6)</f>
        <v>0.49999999999999961</v>
      </c>
      <c r="G11" s="27">
        <f>IF(G$6=0,0,('1_Dataset'!G7-G$4)/G$6)</f>
        <v>0.66666666666666663</v>
      </c>
      <c r="H11" s="27">
        <f>IF(H$6=0,0,('1_Dataset'!H7-H$4)/H$6)</f>
        <v>0.66666666666666663</v>
      </c>
      <c r="I11" s="27">
        <f>IF(I$6=0,0,('1_Dataset'!I7-I$4)/I$6)</f>
        <v>0.33333333333333331</v>
      </c>
      <c r="J11" s="27">
        <f>IF(J$6=0,0,('1_Dataset'!J7-J$4)/J$6)</f>
        <v>1</v>
      </c>
      <c r="K11" s="27">
        <f>IF(K$6=0,0,('1_Dataset'!K7-K$4)/K$6)</f>
        <v>5.4127938764352103E-2</v>
      </c>
      <c r="L11" s="27">
        <f>IF(L$6=0,0,('1_Dataset'!L7-L$4)/L$6)</f>
        <v>0.14324324324324325</v>
      </c>
    </row>
    <row r="12" spans="1:12" ht="15" customHeight="1" x14ac:dyDescent="0.25">
      <c r="A12" s="28">
        <f>'1_Dataset'!A8</f>
        <v>5</v>
      </c>
      <c r="B12" s="18" t="str">
        <f>'1_Dataset'!B8</f>
        <v>Ketep Pass</v>
      </c>
      <c r="C12" s="27">
        <f>IF(C$6=0,0,('1_Dataset'!C8-C$4)/C$6)</f>
        <v>0.28163828808099872</v>
      </c>
      <c r="D12" s="27">
        <f>IF(D$6=0,0,('1_Dataset'!D8-D$4)/D$6)</f>
        <v>0.10781122864117336</v>
      </c>
      <c r="E12" s="27">
        <f>IF(E$6=0,0,('1_Dataset'!E8-E$4)/E$6)</f>
        <v>0.14893617021276595</v>
      </c>
      <c r="F12" s="27">
        <f>IF(F$6=0,0,('1_Dataset'!F8-F$4)/F$6)</f>
        <v>0.66666666666666641</v>
      </c>
      <c r="G12" s="27">
        <f>IF(G$6=0,0,('1_Dataset'!G8-G$4)/G$6)</f>
        <v>0.33333333333333331</v>
      </c>
      <c r="H12" s="27">
        <f>IF(H$6=0,0,('1_Dataset'!H8-H$4)/H$6)</f>
        <v>0.66666666666666663</v>
      </c>
      <c r="I12" s="27">
        <f>IF(I$6=0,0,('1_Dataset'!I8-I$4)/I$6)</f>
        <v>1</v>
      </c>
      <c r="J12" s="27">
        <f>IF(J$6=0,0,('1_Dataset'!J8-J$4)/J$6)</f>
        <v>0.33333333333333331</v>
      </c>
      <c r="K12" s="27">
        <f>IF(K$6=0,0,('1_Dataset'!K8-K$4)/K$6)</f>
        <v>0.15800984144341171</v>
      </c>
      <c r="L12" s="27">
        <f>IF(L$6=0,0,('1_Dataset'!L8-L$4)/L$6)</f>
        <v>0.3108108108108108</v>
      </c>
    </row>
    <row r="13" spans="1:12" ht="15" customHeight="1" x14ac:dyDescent="0.25">
      <c r="A13" s="28">
        <f>'1_Dataset'!A9</f>
        <v>6</v>
      </c>
      <c r="B13" s="18" t="str">
        <f>'1_Dataset'!B9</f>
        <v>Kopeng</v>
      </c>
      <c r="C13" s="27">
        <f>IF(C$6=0,0,('1_Dataset'!C9-C$4)/C$6)</f>
        <v>0.94799815922691344</v>
      </c>
      <c r="D13" s="27">
        <f>IF(D$6=0,0,('1_Dataset'!D9-D$4)/D$6)</f>
        <v>0.86533767290480013</v>
      </c>
      <c r="E13" s="27">
        <f>IF(E$6=0,0,('1_Dataset'!E9-E$4)/E$6)</f>
        <v>5.7283142389525366E-2</v>
      </c>
      <c r="F13" s="27">
        <f>IF(F$6=0,0,('1_Dataset'!F9-F$4)/F$6)</f>
        <v>8.3333333333333023E-2</v>
      </c>
      <c r="G13" s="27">
        <f>IF(G$6=0,0,('1_Dataset'!G9-G$4)/G$6)</f>
        <v>0.33333333333333331</v>
      </c>
      <c r="H13" s="27">
        <f>IF(H$6=0,0,('1_Dataset'!H9-H$4)/H$6)</f>
        <v>0.33333333333333331</v>
      </c>
      <c r="I13" s="27">
        <f>IF(I$6=0,0,('1_Dataset'!I9-I$4)/I$6)</f>
        <v>0.66666666666666663</v>
      </c>
      <c r="J13" s="27">
        <f>IF(J$6=0,0,('1_Dataset'!J9-J$4)/J$6)</f>
        <v>0</v>
      </c>
      <c r="K13" s="27">
        <f>IF(K$6=0,0,('1_Dataset'!K9-K$4)/K$6)</f>
        <v>3.116457080371788E-2</v>
      </c>
      <c r="L13" s="27">
        <f>IF(L$6=0,0,('1_Dataset'!L9-L$4)/L$6)</f>
        <v>2.9729729729729718E-2</v>
      </c>
    </row>
    <row r="14" spans="1:12" ht="15" customHeight="1" x14ac:dyDescent="0.25">
      <c r="A14" s="28">
        <f>'1_Dataset'!A10</f>
        <v>7</v>
      </c>
      <c r="B14" s="18" t="str">
        <f>'1_Dataset'!B10</f>
        <v>Air Terjun Kedung Kayang</v>
      </c>
      <c r="C14" s="27">
        <f>IF(C$6=0,0,('1_Dataset'!C10-C$4)/C$6)</f>
        <v>0.33916244822827513</v>
      </c>
      <c r="D14" s="27">
        <f>IF(D$6=0,0,('1_Dataset'!D10-D$4)/D$6)</f>
        <v>0.16273393002441022</v>
      </c>
      <c r="E14" s="27">
        <f>IF(E$6=0,0,('1_Dataset'!E10-E$4)/E$6)</f>
        <v>1.1456628477905073E-2</v>
      </c>
      <c r="F14" s="27">
        <f>IF(F$6=0,0,('1_Dataset'!F10-F$4)/F$6)</f>
        <v>0.58333333333333337</v>
      </c>
      <c r="G14" s="27">
        <f>IF(G$6=0,0,('1_Dataset'!G10-G$4)/G$6)</f>
        <v>0</v>
      </c>
      <c r="H14" s="27">
        <f>IF(H$6=0,0,('1_Dataset'!H10-H$4)/H$6)</f>
        <v>0</v>
      </c>
      <c r="I14" s="27">
        <f>IF(I$6=0,0,('1_Dataset'!I10-I$4)/I$6)</f>
        <v>1</v>
      </c>
      <c r="J14" s="27">
        <f>IF(J$6=0,0,('1_Dataset'!J10-J$4)/J$6)</f>
        <v>0</v>
      </c>
      <c r="K14" s="27">
        <f>IF(K$6=0,0,('1_Dataset'!K10-K$4)/K$6)</f>
        <v>6.0142154182613447E-3</v>
      </c>
      <c r="L14" s="27">
        <f>IF(L$6=0,0,('1_Dataset'!L10-L$4)/L$6)</f>
        <v>0.48378378378378378</v>
      </c>
    </row>
    <row r="15" spans="1:12" ht="15" customHeight="1" x14ac:dyDescent="0.25">
      <c r="A15" s="28">
        <f>'1_Dataset'!A11</f>
        <v>8</v>
      </c>
      <c r="B15" s="18" t="str">
        <f>'1_Dataset'!B11</f>
        <v>Telaga Bleder</v>
      </c>
      <c r="C15" s="27">
        <f>IF(C$6=0,0,('1_Dataset'!C11-C$4)/C$6)</f>
        <v>0.58122411412795083</v>
      </c>
      <c r="D15" s="27">
        <f>IF(D$6=0,0,('1_Dataset'!D11-D$4)/D$6)</f>
        <v>0.52441008950366064</v>
      </c>
      <c r="E15" s="27">
        <f>IF(E$6=0,0,('1_Dataset'!E11-E$4)/E$6)</f>
        <v>5.7283142389525366E-3</v>
      </c>
      <c r="F15" s="27">
        <f>IF(F$6=0,0,('1_Dataset'!F11-F$4)/F$6)</f>
        <v>0.16666666666666641</v>
      </c>
      <c r="G15" s="27">
        <f>IF(G$6=0,0,('1_Dataset'!G11-G$4)/G$6)</f>
        <v>0</v>
      </c>
      <c r="H15" s="27">
        <f>IF(H$6=0,0,('1_Dataset'!H11-H$4)/H$6)</f>
        <v>0</v>
      </c>
      <c r="I15" s="27">
        <f>IF(I$6=0,0,('1_Dataset'!I11-I$4)/I$6)</f>
        <v>0.66666666666666663</v>
      </c>
      <c r="J15" s="27">
        <f>IF(J$6=0,0,('1_Dataset'!J11-J$4)/J$6)</f>
        <v>0</v>
      </c>
      <c r="K15" s="27">
        <f>IF(K$6=0,0,('1_Dataset'!K11-K$4)/K$6)</f>
        <v>3.8272279934390375E-3</v>
      </c>
      <c r="L15" s="27">
        <f>IF(L$6=0,0,('1_Dataset'!L11-L$4)/L$6)</f>
        <v>0.20540540540540536</v>
      </c>
    </row>
    <row r="16" spans="1:12" ht="15" customHeight="1" x14ac:dyDescent="0.25">
      <c r="A16" s="28">
        <f>'1_Dataset'!A12</f>
        <v>9</v>
      </c>
      <c r="B16" s="18" t="str">
        <f>'1_Dataset'!B12</f>
        <v>Bukit Rhema (Gereja Ayam)</v>
      </c>
      <c r="C16" s="27">
        <f>IF(C$6=0,0,('1_Dataset'!C12-C$4)/C$6)</f>
        <v>3.1753336401297086E-2</v>
      </c>
      <c r="D16" s="27">
        <f>IF(D$6=0,0,('1_Dataset'!D12-D$4)/D$6)</f>
        <v>3.010577705451797E-2</v>
      </c>
      <c r="E16" s="27">
        <f>IF(E$6=0,0,('1_Dataset'!E12-E$4)/E$6)</f>
        <v>0.11211129296235679</v>
      </c>
      <c r="F16" s="27">
        <f>IF(F$6=0,0,('1_Dataset'!F12-F$4)/F$6)</f>
        <v>0.74999999999999944</v>
      </c>
      <c r="G16" s="27">
        <f>IF(G$6=0,0,('1_Dataset'!G12-G$4)/G$6)</f>
        <v>0.33333333333333331</v>
      </c>
      <c r="H16" s="27">
        <f>IF(H$6=0,0,('1_Dataset'!H12-H$4)/H$6)</f>
        <v>0.33333333333333331</v>
      </c>
      <c r="I16" s="27">
        <f>IF(I$6=0,0,('1_Dataset'!I12-I$4)/I$6)</f>
        <v>0.66666666666666663</v>
      </c>
      <c r="J16" s="27">
        <f>IF(J$6=0,0,('1_Dataset'!J12-J$4)/J$6)</f>
        <v>0.66666666666666663</v>
      </c>
      <c r="K16" s="27">
        <f>IF(K$6=0,0,('1_Dataset'!K12-K$4)/K$6)</f>
        <v>0.10333515582285402</v>
      </c>
      <c r="L16" s="27">
        <f>IF(L$6=0,0,('1_Dataset'!L12-L$4)/L$6)</f>
        <v>0.83783783783783783</v>
      </c>
    </row>
    <row r="17" spans="1:12" ht="15" customHeight="1" x14ac:dyDescent="0.25">
      <c r="A17" s="28">
        <f>'1_Dataset'!A13</f>
        <v>10</v>
      </c>
      <c r="B17" s="18" t="str">
        <f>'1_Dataset'!B13</f>
        <v>Sawah Sukomakmur</v>
      </c>
      <c r="C17" s="27">
        <f>IF(C$6=0,0,('1_Dataset'!C13-C$4)/C$6)</f>
        <v>0.17579383341005206</v>
      </c>
      <c r="D17" s="27">
        <f>IF(D$6=0,0,('1_Dataset'!D13-D$4)/D$6)</f>
        <v>0.16842961757526576</v>
      </c>
      <c r="E17" s="27">
        <f>IF(E$6=0,0,('1_Dataset'!E13-E$4)/E$6)</f>
        <v>0</v>
      </c>
      <c r="F17" s="27">
        <f>IF(F$6=0,0,('1_Dataset'!F13-F$4)/F$6)</f>
        <v>0.33333333333333282</v>
      </c>
      <c r="G17" s="27">
        <f>IF(G$6=0,0,('1_Dataset'!G13-G$4)/G$6)</f>
        <v>0</v>
      </c>
      <c r="H17" s="27">
        <f>IF(H$6=0,0,('1_Dataset'!H13-H$4)/H$6)</f>
        <v>0</v>
      </c>
      <c r="I17" s="27">
        <f>IF(I$6=0,0,('1_Dataset'!I13-I$4)/I$6)</f>
        <v>1</v>
      </c>
      <c r="J17" s="27">
        <f>IF(J$6=0,0,('1_Dataset'!J13-J$4)/J$6)</f>
        <v>0.33333333333333331</v>
      </c>
      <c r="K17" s="27">
        <f>IF(K$6=0,0,('1_Dataset'!K13-K$4)/K$6)</f>
        <v>0</v>
      </c>
      <c r="L17" s="27">
        <f>IF(L$6=0,0,('1_Dataset'!L13-L$4)/L$6)</f>
        <v>0.65405405405405392</v>
      </c>
    </row>
    <row r="18" spans="1:12" ht="15" customHeight="1" x14ac:dyDescent="0.25">
      <c r="A18" s="28">
        <f>'1_Dataset'!A14</f>
        <v>11</v>
      </c>
      <c r="B18" s="18" t="str">
        <f>'1_Dataset'!B14</f>
        <v>Museum Karmawibhangga</v>
      </c>
      <c r="C18" s="27">
        <f>IF(C$6=0,0,('1_Dataset'!C14-C$4)/C$6)</f>
        <v>4.0036815462516397E-2</v>
      </c>
      <c r="D18" s="27">
        <f>IF(D$6=0,0,('1_Dataset'!D14-D$4)/D$6)</f>
        <v>1.2205044751831219E-2</v>
      </c>
      <c r="E18" s="27">
        <f>IF(E$6=0,0,('1_Dataset'!E14-E$4)/E$6)</f>
        <v>4.8281505728314238E-2</v>
      </c>
      <c r="F18" s="27">
        <f>IF(F$6=0,0,('1_Dataset'!F14-F$4)/F$6)</f>
        <v>0.24999999999999981</v>
      </c>
      <c r="G18" s="27">
        <f>IF(G$6=0,0,('1_Dataset'!G14-G$4)/G$6)</f>
        <v>1</v>
      </c>
      <c r="H18" s="27">
        <f>IF(H$6=0,0,('1_Dataset'!H14-H$4)/H$6)</f>
        <v>0.66666666666666663</v>
      </c>
      <c r="I18" s="27">
        <f>IF(I$6=0,0,('1_Dataset'!I14-I$4)/I$6)</f>
        <v>0</v>
      </c>
      <c r="J18" s="27">
        <f>IF(J$6=0,0,('1_Dataset'!J14-J$4)/J$6)</f>
        <v>1</v>
      </c>
      <c r="K18" s="27">
        <f>IF(K$6=0,0,('1_Dataset'!K14-K$4)/K$6)</f>
        <v>2.4056861673045379E-2</v>
      </c>
      <c r="L18" s="27">
        <f>IF(L$6=0,0,('1_Dataset'!L14-L$4)/L$6)</f>
        <v>5.135135135135134E-2</v>
      </c>
    </row>
    <row r="19" spans="1:12" ht="15" customHeight="1" x14ac:dyDescent="0.25">
      <c r="A19" s="28">
        <f>'1_Dataset'!A15</f>
        <v>12</v>
      </c>
      <c r="B19" s="18" t="str">
        <f>'1_Dataset'!B15</f>
        <v>Taman Kyai Langgeng</v>
      </c>
      <c r="C19" s="27">
        <f>IF(C$6=0,0,('1_Dataset'!C15-C$4)/C$6)</f>
        <v>0.10308329498391719</v>
      </c>
      <c r="D19" s="27">
        <f>IF(D$6=0,0,('1_Dataset'!D15-D$4)/D$6)</f>
        <v>0.56590724165988604</v>
      </c>
      <c r="E19" s="27">
        <f>IF(E$6=0,0,('1_Dataset'!E15-E$4)/E$6)</f>
        <v>9.5744680851063829E-2</v>
      </c>
      <c r="F19" s="27">
        <f>IF(F$6=0,0,('1_Dataset'!F15-F$4)/F$6)</f>
        <v>0</v>
      </c>
      <c r="G19" s="27">
        <f>IF(G$6=0,0,('1_Dataset'!G15-G$4)/G$6)</f>
        <v>0.66666666666666663</v>
      </c>
      <c r="H19" s="27">
        <f>IF(H$6=0,0,('1_Dataset'!H15-H$4)/H$6)</f>
        <v>0.66666666666666663</v>
      </c>
      <c r="I19" s="27">
        <f>IF(I$6=0,0,('1_Dataset'!I15-I$4)/I$6)</f>
        <v>0.33333333333333331</v>
      </c>
      <c r="J19" s="27">
        <f>IF(J$6=0,0,('1_Dataset'!J15-J$4)/J$6)</f>
        <v>0.33333333333333331</v>
      </c>
      <c r="K19" s="27">
        <f>IF(K$6=0,0,('1_Dataset'!K15-K$4)/K$6)</f>
        <v>8.9666484417714604E-2</v>
      </c>
      <c r="L19" s="27">
        <f>IF(L$6=0,0,('1_Dataset'!L15-L$4)/L$6)</f>
        <v>0</v>
      </c>
    </row>
    <row r="20" spans="1:12" ht="15" customHeight="1" x14ac:dyDescent="0.25">
      <c r="A20" s="28">
        <f>'1_Dataset'!A16</f>
        <v>13</v>
      </c>
      <c r="B20" s="18" t="str">
        <f>'1_Dataset'!B16</f>
        <v>Gunung Andong</v>
      </c>
      <c r="C20" s="27">
        <f>IF(C$6=0,0,('1_Dataset'!C16-C$4)/C$6)</f>
        <v>1</v>
      </c>
      <c r="D20" s="27">
        <f>IF(D$6=0,0,('1_Dataset'!D16-D$4)/D$6)</f>
        <v>0.71440195280716101</v>
      </c>
      <c r="E20" s="27">
        <f>IF(E$6=0,0,('1_Dataset'!E16-E$4)/E$6)</f>
        <v>2.20949263502455E-2</v>
      </c>
      <c r="F20" s="27">
        <f>IF(F$6=0,0,('1_Dataset'!F16-F$4)/F$6)</f>
        <v>0.66666666666666641</v>
      </c>
      <c r="G20" s="27">
        <f>IF(G$6=0,0,('1_Dataset'!G16-G$4)/G$6)</f>
        <v>0</v>
      </c>
      <c r="H20" s="27">
        <f>IF(H$6=0,0,('1_Dataset'!H16-H$4)/H$6)</f>
        <v>0</v>
      </c>
      <c r="I20" s="27">
        <f>IF(I$6=0,0,('1_Dataset'!I16-I$4)/I$6)</f>
        <v>1</v>
      </c>
      <c r="J20" s="27">
        <f>IF(J$6=0,0,('1_Dataset'!J16-J$4)/J$6)</f>
        <v>0</v>
      </c>
      <c r="K20" s="27">
        <f>IF(K$6=0,0,('1_Dataset'!K16-K$4)/K$6)</f>
        <v>1.1481683980317113E-2</v>
      </c>
      <c r="L20" s="27">
        <f>IF(L$6=0,0,('1_Dataset'!L16-L$4)/L$6)</f>
        <v>0.74054054054054064</v>
      </c>
    </row>
    <row r="21" spans="1:12" ht="15" customHeight="1" x14ac:dyDescent="0.25">
      <c r="A21" s="28">
        <f>'1_Dataset'!A17</f>
        <v>14</v>
      </c>
      <c r="B21" s="18" t="str">
        <f>'1_Dataset'!B17</f>
        <v>Umbul Songo</v>
      </c>
      <c r="C21" s="27">
        <f>IF(C$6=0,0,('1_Dataset'!C17-C$4)/C$6)</f>
        <v>0.88541187298670598</v>
      </c>
      <c r="D21" s="27">
        <f>IF(D$6=0,0,('1_Dataset'!D17-D$4)/D$6)</f>
        <v>1</v>
      </c>
      <c r="E21" s="27">
        <f>IF(E$6=0,0,('1_Dataset'!E17-E$4)/E$6)</f>
        <v>3.2733224222585926E-3</v>
      </c>
      <c r="F21" s="27">
        <f>IF(F$6=0,0,('1_Dataset'!F17-F$4)/F$6)</f>
        <v>0.41666666666666663</v>
      </c>
      <c r="G21" s="27">
        <f>IF(G$6=0,0,('1_Dataset'!G17-G$4)/G$6)</f>
        <v>0</v>
      </c>
      <c r="H21" s="27">
        <f>IF(H$6=0,0,('1_Dataset'!H17-H$4)/H$6)</f>
        <v>0</v>
      </c>
      <c r="I21" s="27">
        <f>IF(I$6=0,0,('1_Dataset'!I17-I$4)/I$6)</f>
        <v>1</v>
      </c>
      <c r="J21" s="27">
        <f>IF(J$6=0,0,('1_Dataset'!J17-J$4)/J$6)</f>
        <v>0</v>
      </c>
      <c r="K21" s="27">
        <f>IF(K$6=0,0,('1_Dataset'!K17-K$4)/K$6)</f>
        <v>1.9136139967195188E-3</v>
      </c>
      <c r="L21" s="27">
        <f>IF(L$6=0,0,('1_Dataset'!L17-L$4)/L$6)</f>
        <v>0.42162162162162165</v>
      </c>
    </row>
    <row r="22" spans="1:12" ht="15" customHeight="1" x14ac:dyDescent="0.25">
      <c r="A22" s="28">
        <f>'1_Dataset'!A18</f>
        <v>15</v>
      </c>
      <c r="B22" s="18" t="str">
        <f>'1_Dataset'!B18</f>
        <v>Puthuk Mongkrong</v>
      </c>
      <c r="C22" s="27">
        <f>IF(C$6=0,0,('1_Dataset'!C18-C$4)/C$6)</f>
        <v>2.116889093417626E-2</v>
      </c>
      <c r="D22" s="27">
        <f>IF(D$6=0,0,('1_Dataset'!D18-D$4)/D$6)</f>
        <v>5.0854353132628871E-2</v>
      </c>
      <c r="E22" s="27">
        <f>IF(E$6=0,0,('1_Dataset'!E18-E$4)/E$6)</f>
        <v>1.3911620294599018E-2</v>
      </c>
      <c r="F22" s="27">
        <f>IF(F$6=0,0,('1_Dataset'!F18-F$4)/F$6)</f>
        <v>0.49999999999999961</v>
      </c>
      <c r="G22" s="27">
        <f>IF(G$6=0,0,('1_Dataset'!G18-G$4)/G$6)</f>
        <v>0</v>
      </c>
      <c r="H22" s="27">
        <f>IF(H$6=0,0,('1_Dataset'!H18-H$4)/H$6)</f>
        <v>0</v>
      </c>
      <c r="I22" s="27">
        <f>IF(I$6=0,0,('1_Dataset'!I18-I$4)/I$6)</f>
        <v>1</v>
      </c>
      <c r="J22" s="27">
        <f>IF(J$6=0,0,('1_Dataset'!J18-J$4)/J$6)</f>
        <v>0.66666666666666663</v>
      </c>
      <c r="K22" s="27">
        <f>IF(K$6=0,0,('1_Dataset'!K18-K$4)/K$6)</f>
        <v>9.2946965554948063E-3</v>
      </c>
      <c r="L22" s="27">
        <f>IF(L$6=0,0,('1_Dataset'!L18-L$4)/L$6)</f>
        <v>1</v>
      </c>
    </row>
  </sheetData>
  <mergeCells count="6">
    <mergeCell ref="A6:B6"/>
    <mergeCell ref="A1:L1"/>
    <mergeCell ref="A2:L2"/>
    <mergeCell ref="A3:B3"/>
    <mergeCell ref="A4:B4"/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37" zoomScaleNormal="100" workbookViewId="0">
      <selection activeCell="F40" sqref="F40"/>
    </sheetView>
  </sheetViews>
  <sheetFormatPr defaultColWidth="8.7109375" defaultRowHeight="15" x14ac:dyDescent="0.25"/>
  <cols>
    <col min="1" max="1" width="5" style="15" customWidth="1"/>
    <col min="2" max="2" width="30" style="15" customWidth="1"/>
    <col min="3" max="12" width="10" style="15" customWidth="1"/>
    <col min="13" max="15" width="12" style="15" customWidth="1"/>
  </cols>
  <sheetData>
    <row r="1" spans="1:14" ht="27.75" customHeight="1" x14ac:dyDescent="0.25">
      <c r="A1" s="7" t="s">
        <v>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1.5" customHeight="1" x14ac:dyDescent="0.25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15" customHeight="1" x14ac:dyDescent="0.25">
      <c r="A4" s="1" t="s">
        <v>93</v>
      </c>
      <c r="B4" s="1"/>
      <c r="C4" s="1"/>
      <c r="D4" s="1"/>
    </row>
    <row r="5" spans="1:14" ht="15" customHeight="1" x14ac:dyDescent="0.25">
      <c r="A5" s="103" t="s">
        <v>94</v>
      </c>
      <c r="B5" s="103"/>
      <c r="C5" s="104">
        <v>3</v>
      </c>
      <c r="D5" s="104"/>
    </row>
    <row r="6" spans="1:14" ht="15" customHeight="1" x14ac:dyDescent="0.25">
      <c r="A6" s="103" t="s">
        <v>95</v>
      </c>
      <c r="B6" s="103"/>
      <c r="C6" s="104">
        <v>10</v>
      </c>
      <c r="D6" s="104"/>
    </row>
    <row r="7" spans="1:14" ht="15" customHeight="1" x14ac:dyDescent="0.25">
      <c r="A7" s="103" t="s">
        <v>96</v>
      </c>
      <c r="B7" s="103"/>
      <c r="C7" s="104" t="s">
        <v>97</v>
      </c>
      <c r="D7" s="104"/>
    </row>
    <row r="8" spans="1:14" ht="15" customHeight="1" x14ac:dyDescent="0.25">
      <c r="A8" s="103" t="s">
        <v>98</v>
      </c>
      <c r="B8" s="103"/>
      <c r="C8" s="104" t="s">
        <v>99</v>
      </c>
      <c r="D8" s="104"/>
    </row>
    <row r="10" spans="1:14" ht="15" customHeight="1" x14ac:dyDescent="0.25">
      <c r="A10" s="8" t="s">
        <v>100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15" customHeight="1" x14ac:dyDescent="0.25">
      <c r="A11" s="15" t="s">
        <v>101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6" t="s">
        <v>107</v>
      </c>
      <c r="H11" s="16" t="s">
        <v>108</v>
      </c>
      <c r="I11" s="16" t="s">
        <v>109</v>
      </c>
      <c r="J11" s="16" t="s">
        <v>110</v>
      </c>
      <c r="K11" s="16" t="s">
        <v>111</v>
      </c>
    </row>
    <row r="12" spans="1:14" ht="32.25" customHeight="1" x14ac:dyDescent="0.25">
      <c r="A12" s="17" t="s">
        <v>112</v>
      </c>
      <c r="B12" s="29">
        <f>'2_Normalisasi'!C8</f>
        <v>3.9116428900129632E-2</v>
      </c>
      <c r="C12" s="29">
        <f>'2_Normalisasi'!D8</f>
        <v>1.3425549227015063E-2</v>
      </c>
      <c r="D12" s="29">
        <f>'2_Normalisasi'!E8</f>
        <v>1</v>
      </c>
      <c r="E12" s="29">
        <f>'2_Normalisasi'!F8</f>
        <v>1</v>
      </c>
      <c r="F12" s="29">
        <f>'2_Normalisasi'!G8</f>
        <v>1</v>
      </c>
      <c r="G12" s="29">
        <f>'2_Normalisasi'!H8</f>
        <v>1</v>
      </c>
      <c r="H12" s="29">
        <f>'2_Normalisasi'!I8</f>
        <v>0.66666666666666663</v>
      </c>
      <c r="I12" s="29">
        <f>'2_Normalisasi'!J8</f>
        <v>1</v>
      </c>
      <c r="J12" s="29">
        <f>'2_Normalisasi'!K8</f>
        <v>1</v>
      </c>
      <c r="K12" s="29">
        <f>'2_Normalisasi'!L8</f>
        <v>0.2189189189189189</v>
      </c>
    </row>
    <row r="14" spans="1:14" ht="15" customHeight="1" x14ac:dyDescent="0.25">
      <c r="A14" s="8" t="s">
        <v>113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27.75" customHeight="1" x14ac:dyDescent="0.25">
      <c r="A15" s="16" t="s">
        <v>34</v>
      </c>
      <c r="B15" s="16" t="s">
        <v>114</v>
      </c>
      <c r="C15" s="16" t="s">
        <v>102</v>
      </c>
      <c r="D15" s="16" t="s">
        <v>103</v>
      </c>
      <c r="E15" s="16" t="s">
        <v>104</v>
      </c>
      <c r="F15" s="16" t="s">
        <v>105</v>
      </c>
      <c r="G15" s="16" t="s">
        <v>106</v>
      </c>
      <c r="H15" s="16" t="s">
        <v>107</v>
      </c>
      <c r="I15" s="16" t="s">
        <v>108</v>
      </c>
      <c r="J15" s="16" t="s">
        <v>109</v>
      </c>
      <c r="K15" s="16" t="s">
        <v>110</v>
      </c>
      <c r="L15" s="16" t="s">
        <v>111</v>
      </c>
      <c r="M15" s="16" t="s">
        <v>115</v>
      </c>
      <c r="N15" s="16" t="s">
        <v>116</v>
      </c>
    </row>
    <row r="16" spans="1:14" ht="15" customHeight="1" x14ac:dyDescent="0.25">
      <c r="A16" s="28">
        <f>'2_Normalisasi'!A8</f>
        <v>1</v>
      </c>
      <c r="B16" s="18" t="str">
        <f>'2_Normalisasi'!B8</f>
        <v>Candi Borobudur</v>
      </c>
      <c r="C16" s="30">
        <f>'2_Normalisasi'!C8</f>
        <v>3.9116428900129632E-2</v>
      </c>
      <c r="D16" s="30">
        <f>'2_Normalisasi'!D8</f>
        <v>1.3425549227015063E-2</v>
      </c>
      <c r="E16" s="30">
        <f>'2_Normalisasi'!E8</f>
        <v>1</v>
      </c>
      <c r="F16" s="30">
        <f>'2_Normalisasi'!F8</f>
        <v>1</v>
      </c>
      <c r="G16" s="30">
        <f>'2_Normalisasi'!G8</f>
        <v>1</v>
      </c>
      <c r="H16" s="30">
        <f>'2_Normalisasi'!H8</f>
        <v>1</v>
      </c>
      <c r="I16" s="30">
        <f>'2_Normalisasi'!I8</f>
        <v>0.66666666666666663</v>
      </c>
      <c r="J16" s="30">
        <f>'2_Normalisasi'!J8</f>
        <v>1</v>
      </c>
      <c r="K16" s="30">
        <f>'2_Normalisasi'!K8</f>
        <v>1</v>
      </c>
      <c r="L16" s="30">
        <f>'2_Normalisasi'!L8</f>
        <v>0.2189189189189189</v>
      </c>
      <c r="M16" s="31">
        <f t="shared" ref="M16:M30" si="0">(C16-B$12)^2+(D16-C$12)^2+(E16-D$12)^2+(F16-E$12)^2+(G16-F$12)^2+(H16-G$12)^2+(I16-H$12)^2+(J16-I$12)^2+(K16-J$12)^2+(L16-K$12)^2</f>
        <v>0</v>
      </c>
      <c r="N16" s="32">
        <f>M16/SUM(M$16:M$30)</f>
        <v>0</v>
      </c>
    </row>
    <row r="17" spans="1:14" ht="15" customHeight="1" x14ac:dyDescent="0.25">
      <c r="A17" s="28">
        <f>'2_Normalisasi'!A9</f>
        <v>2</v>
      </c>
      <c r="B17" s="18" t="str">
        <f>'2_Normalisasi'!B9</f>
        <v>Punthuk Setumbu</v>
      </c>
      <c r="C17" s="30">
        <f>'2_Normalisasi'!C9</f>
        <v>0</v>
      </c>
      <c r="D17" s="30">
        <f>'2_Normalisasi'!D9</f>
        <v>3.5394629780309814E-2</v>
      </c>
      <c r="E17" s="30">
        <f>'2_Normalisasi'!E9</f>
        <v>0.12847790507364976</v>
      </c>
      <c r="F17" s="30">
        <f>'2_Normalisasi'!F9</f>
        <v>0.83333333333333326</v>
      </c>
      <c r="G17" s="30">
        <f>'2_Normalisasi'!G9</f>
        <v>0.33333333333333331</v>
      </c>
      <c r="H17" s="30">
        <f>'2_Normalisasi'!H9</f>
        <v>0.33333333333333331</v>
      </c>
      <c r="I17" s="30">
        <f>'2_Normalisasi'!I9</f>
        <v>1</v>
      </c>
      <c r="J17" s="30">
        <f>'2_Normalisasi'!J9</f>
        <v>0.66666666666666663</v>
      </c>
      <c r="K17" s="30">
        <f>'2_Normalisasi'!K9</f>
        <v>0.14160743575724438</v>
      </c>
      <c r="L17" s="30">
        <f>'2_Normalisasi'!L9</f>
        <v>0.38648648648648648</v>
      </c>
      <c r="M17" s="31">
        <f t="shared" si="0"/>
        <v>2.6653690703917241</v>
      </c>
      <c r="N17" s="32">
        <f t="shared" ref="N17:N30" si="1">N16+M17/SUM(M$16:M$30)</f>
        <v>4.2644603338388966E-2</v>
      </c>
    </row>
    <row r="18" spans="1:14" ht="15" customHeight="1" x14ac:dyDescent="0.25">
      <c r="A18" s="28">
        <f>'2_Normalisasi'!A10</f>
        <v>3</v>
      </c>
      <c r="B18" s="18" t="str">
        <f>'2_Normalisasi'!B10</f>
        <v>Candi Pawon</v>
      </c>
      <c r="C18" s="30">
        <f>'2_Normalisasi'!C10</f>
        <v>7.0409572020233333E-2</v>
      </c>
      <c r="D18" s="30">
        <f>'2_Normalisasi'!D10</f>
        <v>0</v>
      </c>
      <c r="E18" s="30">
        <f>'2_Normalisasi'!E10</f>
        <v>5.4828150572831427E-2</v>
      </c>
      <c r="F18" s="30">
        <f>'2_Normalisasi'!F10</f>
        <v>0.41666666666666663</v>
      </c>
      <c r="G18" s="30">
        <f>'2_Normalisasi'!G10</f>
        <v>0.66666666666666663</v>
      </c>
      <c r="H18" s="30">
        <f>'2_Normalisasi'!H10</f>
        <v>0.33333333333333331</v>
      </c>
      <c r="I18" s="30">
        <f>'2_Normalisasi'!I10</f>
        <v>0.33333333333333331</v>
      </c>
      <c r="J18" s="30">
        <f>'2_Normalisasi'!J10</f>
        <v>1</v>
      </c>
      <c r="K18" s="30">
        <f>'2_Normalisasi'!K10</f>
        <v>3.4991798797156914E-2</v>
      </c>
      <c r="L18" s="30">
        <f>'2_Normalisasi'!L10</f>
        <v>0.10810810810810811</v>
      </c>
      <c r="M18" s="31">
        <f t="shared" si="0"/>
        <v>2.844973639753698</v>
      </c>
      <c r="N18" s="32">
        <f t="shared" si="1"/>
        <v>8.8162792066240669E-2</v>
      </c>
    </row>
    <row r="19" spans="1:14" ht="15" customHeight="1" x14ac:dyDescent="0.25">
      <c r="A19" s="28">
        <f>'2_Normalisasi'!A11</f>
        <v>4</v>
      </c>
      <c r="B19" s="18" t="str">
        <f>'2_Normalisasi'!B11</f>
        <v>Candi Mendut</v>
      </c>
      <c r="C19" s="30">
        <f>'2_Normalisasi'!C11</f>
        <v>0.15002300966407275</v>
      </c>
      <c r="D19" s="30">
        <f>'2_Normalisasi'!D11</f>
        <v>4.719283970708095E-2</v>
      </c>
      <c r="E19" s="30">
        <f>'2_Normalisasi'!E11</f>
        <v>7.9378068739770866E-2</v>
      </c>
      <c r="F19" s="30">
        <f>'2_Normalisasi'!F11</f>
        <v>0.49999999999999961</v>
      </c>
      <c r="G19" s="30">
        <f>'2_Normalisasi'!G11</f>
        <v>0.66666666666666663</v>
      </c>
      <c r="H19" s="30">
        <f>'2_Normalisasi'!H11</f>
        <v>0.66666666666666663</v>
      </c>
      <c r="I19" s="30">
        <f>'2_Normalisasi'!I11</f>
        <v>0.33333333333333331</v>
      </c>
      <c r="J19" s="30">
        <f>'2_Normalisasi'!J11</f>
        <v>1</v>
      </c>
      <c r="K19" s="30">
        <f>'2_Normalisasi'!K11</f>
        <v>5.4127938764352103E-2</v>
      </c>
      <c r="L19" s="30">
        <f>'2_Normalisasi'!L11</f>
        <v>0.14324324324324325</v>
      </c>
      <c r="M19" s="31">
        <f t="shared" si="0"/>
        <v>2.3447193373289057</v>
      </c>
      <c r="N19" s="32">
        <f t="shared" si="1"/>
        <v>0.12567715628355566</v>
      </c>
    </row>
    <row r="20" spans="1:14" ht="15" customHeight="1" x14ac:dyDescent="0.25">
      <c r="A20" s="28">
        <f>'2_Normalisasi'!A12</f>
        <v>5</v>
      </c>
      <c r="B20" s="18" t="str">
        <f>'2_Normalisasi'!B12</f>
        <v>Ketep Pass</v>
      </c>
      <c r="C20" s="30">
        <f>'2_Normalisasi'!C12</f>
        <v>0.28163828808099872</v>
      </c>
      <c r="D20" s="30">
        <f>'2_Normalisasi'!D12</f>
        <v>0.10781122864117336</v>
      </c>
      <c r="E20" s="30">
        <f>'2_Normalisasi'!E12</f>
        <v>0.14893617021276595</v>
      </c>
      <c r="F20" s="30">
        <f>'2_Normalisasi'!F12</f>
        <v>0.66666666666666641</v>
      </c>
      <c r="G20" s="30">
        <f>'2_Normalisasi'!G12</f>
        <v>0.33333333333333331</v>
      </c>
      <c r="H20" s="30">
        <f>'2_Normalisasi'!H12</f>
        <v>0.66666666666666663</v>
      </c>
      <c r="I20" s="30">
        <f>'2_Normalisasi'!I12</f>
        <v>1</v>
      </c>
      <c r="J20" s="30">
        <f>'2_Normalisasi'!J12</f>
        <v>0.33333333333333331</v>
      </c>
      <c r="K20" s="30">
        <f>'2_Normalisasi'!K12</f>
        <v>0.15800984144341171</v>
      </c>
      <c r="L20" s="30">
        <f>'2_Normalisasi'!L12</f>
        <v>0.3108108108108108</v>
      </c>
      <c r="M20" s="31">
        <f t="shared" si="0"/>
        <v>2.7316489201549743</v>
      </c>
      <c r="N20" s="32">
        <f t="shared" si="1"/>
        <v>0.16938220484654026</v>
      </c>
    </row>
    <row r="21" spans="1:14" ht="15" customHeight="1" x14ac:dyDescent="0.25">
      <c r="A21" s="28">
        <f>'2_Normalisasi'!A13</f>
        <v>6</v>
      </c>
      <c r="B21" s="18" t="str">
        <f>'2_Normalisasi'!B13</f>
        <v>Kopeng</v>
      </c>
      <c r="C21" s="30">
        <f>'2_Normalisasi'!C13</f>
        <v>0.94799815922691344</v>
      </c>
      <c r="D21" s="30">
        <f>'2_Normalisasi'!D13</f>
        <v>0.86533767290480013</v>
      </c>
      <c r="E21" s="30">
        <f>'2_Normalisasi'!E13</f>
        <v>5.7283142389525366E-2</v>
      </c>
      <c r="F21" s="30">
        <f>'2_Normalisasi'!F13</f>
        <v>8.3333333333333023E-2</v>
      </c>
      <c r="G21" s="30">
        <f>'2_Normalisasi'!G13</f>
        <v>0.33333333333333331</v>
      </c>
      <c r="H21" s="30">
        <f>'2_Normalisasi'!H13</f>
        <v>0.33333333333333331</v>
      </c>
      <c r="I21" s="30">
        <f>'2_Normalisasi'!I13</f>
        <v>0.66666666666666663</v>
      </c>
      <c r="J21" s="30">
        <f>'2_Normalisasi'!J13</f>
        <v>0</v>
      </c>
      <c r="K21" s="30">
        <f>'2_Normalisasi'!K13</f>
        <v>3.116457080371788E-2</v>
      </c>
      <c r="L21" s="30">
        <f>'2_Normalisasi'!L13</f>
        <v>2.9729729729729718E-2</v>
      </c>
      <c r="M21" s="31">
        <f t="shared" si="0"/>
        <v>6.1441366446526455</v>
      </c>
      <c r="N21" s="32">
        <f t="shared" si="1"/>
        <v>0.26768539031479682</v>
      </c>
    </row>
    <row r="22" spans="1:14" ht="15" customHeight="1" x14ac:dyDescent="0.25">
      <c r="A22" s="28">
        <f>'2_Normalisasi'!A14</f>
        <v>7</v>
      </c>
      <c r="B22" s="18" t="str">
        <f>'2_Normalisasi'!B14</f>
        <v>Air Terjun Kedung Kayang</v>
      </c>
      <c r="C22" s="30">
        <f>'2_Normalisasi'!C14</f>
        <v>0.33916244822827513</v>
      </c>
      <c r="D22" s="30">
        <f>'2_Normalisasi'!D14</f>
        <v>0.16273393002441022</v>
      </c>
      <c r="E22" s="30">
        <f>'2_Normalisasi'!E14</f>
        <v>1.1456628477905073E-2</v>
      </c>
      <c r="F22" s="30">
        <f>'2_Normalisasi'!F14</f>
        <v>0.58333333333333337</v>
      </c>
      <c r="G22" s="30">
        <f>'2_Normalisasi'!G14</f>
        <v>0</v>
      </c>
      <c r="H22" s="30">
        <f>'2_Normalisasi'!H14</f>
        <v>0</v>
      </c>
      <c r="I22" s="30">
        <f>'2_Normalisasi'!I14</f>
        <v>1</v>
      </c>
      <c r="J22" s="30">
        <f>'2_Normalisasi'!J14</f>
        <v>0</v>
      </c>
      <c r="K22" s="30">
        <f>'2_Normalisasi'!K14</f>
        <v>6.0142154182613447E-3</v>
      </c>
      <c r="L22" s="30">
        <f>'2_Normalisasi'!L14</f>
        <v>0.48378378378378378</v>
      </c>
      <c r="M22" s="31">
        <f t="shared" si="0"/>
        <v>5.4324219624839571</v>
      </c>
      <c r="N22" s="32">
        <f t="shared" si="1"/>
        <v>0.35460148847557937</v>
      </c>
    </row>
    <row r="23" spans="1:14" ht="15" customHeight="1" x14ac:dyDescent="0.25">
      <c r="A23" s="28">
        <f>'2_Normalisasi'!A15</f>
        <v>8</v>
      </c>
      <c r="B23" s="18" t="str">
        <f>'2_Normalisasi'!B15</f>
        <v>Telaga Bleder</v>
      </c>
      <c r="C23" s="30">
        <f>'2_Normalisasi'!C15</f>
        <v>0.58122411412795083</v>
      </c>
      <c r="D23" s="30">
        <f>'2_Normalisasi'!D15</f>
        <v>0.52441008950366064</v>
      </c>
      <c r="E23" s="30">
        <f>'2_Normalisasi'!E15</f>
        <v>5.7283142389525366E-3</v>
      </c>
      <c r="F23" s="30">
        <f>'2_Normalisasi'!F15</f>
        <v>0.16666666666666641</v>
      </c>
      <c r="G23" s="30">
        <f>'2_Normalisasi'!G15</f>
        <v>0</v>
      </c>
      <c r="H23" s="30">
        <f>'2_Normalisasi'!H15</f>
        <v>0</v>
      </c>
      <c r="I23" s="30">
        <f>'2_Normalisasi'!I15</f>
        <v>0.66666666666666663</v>
      </c>
      <c r="J23" s="30">
        <f>'2_Normalisasi'!J15</f>
        <v>0</v>
      </c>
      <c r="K23" s="30">
        <f>'2_Normalisasi'!K15</f>
        <v>3.8272279934390375E-3</v>
      </c>
      <c r="L23" s="30">
        <f>'2_Normalisasi'!L15</f>
        <v>0.20540540540540536</v>
      </c>
      <c r="M23" s="31">
        <f t="shared" si="0"/>
        <v>6.2305493790700766</v>
      </c>
      <c r="N23" s="32">
        <f t="shared" si="1"/>
        <v>0.45428723548983424</v>
      </c>
    </row>
    <row r="24" spans="1:14" ht="15" customHeight="1" x14ac:dyDescent="0.25">
      <c r="A24" s="28">
        <f>'2_Normalisasi'!A16</f>
        <v>9</v>
      </c>
      <c r="B24" s="18" t="str">
        <f>'2_Normalisasi'!B16</f>
        <v>Bukit Rhema (Gereja Ayam)</v>
      </c>
      <c r="C24" s="30">
        <f>'2_Normalisasi'!C16</f>
        <v>3.1753336401297086E-2</v>
      </c>
      <c r="D24" s="30">
        <f>'2_Normalisasi'!D16</f>
        <v>3.010577705451797E-2</v>
      </c>
      <c r="E24" s="30">
        <f>'2_Normalisasi'!E16</f>
        <v>0.11211129296235679</v>
      </c>
      <c r="F24" s="30">
        <f>'2_Normalisasi'!F16</f>
        <v>0.74999999999999944</v>
      </c>
      <c r="G24" s="30">
        <f>'2_Normalisasi'!G16</f>
        <v>0.33333333333333331</v>
      </c>
      <c r="H24" s="30">
        <f>'2_Normalisasi'!H16</f>
        <v>0.33333333333333331</v>
      </c>
      <c r="I24" s="30">
        <f>'2_Normalisasi'!I16</f>
        <v>0.66666666666666663</v>
      </c>
      <c r="J24" s="30">
        <f>'2_Normalisasi'!J16</f>
        <v>0.66666666666666663</v>
      </c>
      <c r="K24" s="30">
        <f>'2_Normalisasi'!K16</f>
        <v>0.10333515582285402</v>
      </c>
      <c r="L24" s="30">
        <f>'2_Normalisasi'!L16</f>
        <v>0.83783783783783783</v>
      </c>
      <c r="M24" s="31">
        <f t="shared" si="0"/>
        <v>3.0382472721954907</v>
      </c>
      <c r="N24" s="32">
        <f t="shared" si="1"/>
        <v>0.5028977079403445</v>
      </c>
    </row>
    <row r="25" spans="1:14" ht="15" customHeight="1" x14ac:dyDescent="0.25">
      <c r="A25" s="28">
        <f>'2_Normalisasi'!A17</f>
        <v>10</v>
      </c>
      <c r="B25" s="18" t="str">
        <f>'2_Normalisasi'!B17</f>
        <v>Sawah Sukomakmur</v>
      </c>
      <c r="C25" s="30">
        <f>'2_Normalisasi'!C17</f>
        <v>0.17579383341005206</v>
      </c>
      <c r="D25" s="30">
        <f>'2_Normalisasi'!D17</f>
        <v>0.16842961757526576</v>
      </c>
      <c r="E25" s="30">
        <f>'2_Normalisasi'!E17</f>
        <v>0</v>
      </c>
      <c r="F25" s="30">
        <f>'2_Normalisasi'!F17</f>
        <v>0.33333333333333282</v>
      </c>
      <c r="G25" s="30">
        <f>'2_Normalisasi'!G17</f>
        <v>0</v>
      </c>
      <c r="H25" s="30">
        <f>'2_Normalisasi'!H17</f>
        <v>0</v>
      </c>
      <c r="I25" s="30">
        <f>'2_Normalisasi'!I17</f>
        <v>1</v>
      </c>
      <c r="J25" s="30">
        <f>'2_Normalisasi'!J17</f>
        <v>0.33333333333333331</v>
      </c>
      <c r="K25" s="30">
        <f>'2_Normalisasi'!K17</f>
        <v>0</v>
      </c>
      <c r="L25" s="30">
        <f>'2_Normalisasi'!L17</f>
        <v>0.65405405405405392</v>
      </c>
      <c r="M25" s="31">
        <f t="shared" si="0"/>
        <v>5.2320495599371508</v>
      </c>
      <c r="N25" s="32">
        <f t="shared" si="1"/>
        <v>0.58660794552388529</v>
      </c>
    </row>
    <row r="26" spans="1:14" ht="15" customHeight="1" x14ac:dyDescent="0.25">
      <c r="A26" s="28">
        <f>'2_Normalisasi'!A18</f>
        <v>11</v>
      </c>
      <c r="B26" s="18" t="str">
        <f>'2_Normalisasi'!B18</f>
        <v>Museum Karmawibhangga</v>
      </c>
      <c r="C26" s="30">
        <f>'2_Normalisasi'!C18</f>
        <v>4.0036815462516397E-2</v>
      </c>
      <c r="D26" s="30">
        <f>'2_Normalisasi'!D18</f>
        <v>1.2205044751831219E-2</v>
      </c>
      <c r="E26" s="30">
        <f>'2_Normalisasi'!E18</f>
        <v>4.8281505728314238E-2</v>
      </c>
      <c r="F26" s="30">
        <f>'2_Normalisasi'!F18</f>
        <v>0.24999999999999981</v>
      </c>
      <c r="G26" s="30">
        <f>'2_Normalisasi'!G18</f>
        <v>1</v>
      </c>
      <c r="H26" s="30">
        <f>'2_Normalisasi'!H18</f>
        <v>0.66666666666666663</v>
      </c>
      <c r="I26" s="30">
        <f>'2_Normalisasi'!I18</f>
        <v>0</v>
      </c>
      <c r="J26" s="30">
        <f>'2_Normalisasi'!J18</f>
        <v>1</v>
      </c>
      <c r="K26" s="30">
        <f>'2_Normalisasi'!K18</f>
        <v>2.4056861673045379E-2</v>
      </c>
      <c r="L26" s="30">
        <f>'2_Normalisasi'!L18</f>
        <v>5.135135135135134E-2</v>
      </c>
      <c r="M26" s="31">
        <f t="shared" si="0"/>
        <v>3.0043698835848955</v>
      </c>
      <c r="N26" s="32">
        <f t="shared" si="1"/>
        <v>0.63467639630261741</v>
      </c>
    </row>
    <row r="27" spans="1:14" ht="15" customHeight="1" x14ac:dyDescent="0.25">
      <c r="A27" s="28">
        <f>'2_Normalisasi'!A19</f>
        <v>12</v>
      </c>
      <c r="B27" s="18" t="str">
        <f>'2_Normalisasi'!B19</f>
        <v>Taman Kyai Langgeng</v>
      </c>
      <c r="C27" s="30">
        <f>'2_Normalisasi'!C19</f>
        <v>0.10308329498391719</v>
      </c>
      <c r="D27" s="30">
        <f>'2_Normalisasi'!D19</f>
        <v>0.56590724165988604</v>
      </c>
      <c r="E27" s="30">
        <f>'2_Normalisasi'!E19</f>
        <v>9.5744680851063829E-2</v>
      </c>
      <c r="F27" s="30">
        <f>'2_Normalisasi'!F19</f>
        <v>0</v>
      </c>
      <c r="G27" s="30">
        <f>'2_Normalisasi'!G19</f>
        <v>0.66666666666666663</v>
      </c>
      <c r="H27" s="30">
        <f>'2_Normalisasi'!H19</f>
        <v>0.66666666666666663</v>
      </c>
      <c r="I27" s="30">
        <f>'2_Normalisasi'!I19</f>
        <v>0.33333333333333331</v>
      </c>
      <c r="J27" s="30">
        <f>'2_Normalisasi'!J19</f>
        <v>0.33333333333333331</v>
      </c>
      <c r="K27" s="30">
        <f>'2_Normalisasi'!K19</f>
        <v>8.9666484417714604E-2</v>
      </c>
      <c r="L27" s="30">
        <f>'2_Normalisasi'!L19</f>
        <v>0</v>
      </c>
      <c r="M27" s="31">
        <f t="shared" si="0"/>
        <v>3.7814158430700244</v>
      </c>
      <c r="N27" s="32">
        <f t="shared" si="1"/>
        <v>0.69517720291756069</v>
      </c>
    </row>
    <row r="28" spans="1:14" ht="15" customHeight="1" x14ac:dyDescent="0.25">
      <c r="A28" s="28">
        <f>'2_Normalisasi'!A20</f>
        <v>13</v>
      </c>
      <c r="B28" s="18" t="str">
        <f>'2_Normalisasi'!B20</f>
        <v>Gunung Andong</v>
      </c>
      <c r="C28" s="30">
        <f>'2_Normalisasi'!C20</f>
        <v>1</v>
      </c>
      <c r="D28" s="30">
        <f>'2_Normalisasi'!D20</f>
        <v>0.71440195280716101</v>
      </c>
      <c r="E28" s="30">
        <f>'2_Normalisasi'!E20</f>
        <v>2.20949263502455E-2</v>
      </c>
      <c r="F28" s="30">
        <f>'2_Normalisasi'!F20</f>
        <v>0.66666666666666641</v>
      </c>
      <c r="G28" s="30">
        <f>'2_Normalisasi'!G20</f>
        <v>0</v>
      </c>
      <c r="H28" s="30">
        <f>'2_Normalisasi'!H20</f>
        <v>0</v>
      </c>
      <c r="I28" s="30">
        <f>'2_Normalisasi'!I20</f>
        <v>1</v>
      </c>
      <c r="J28" s="30">
        <f>'2_Normalisasi'!J20</f>
        <v>0</v>
      </c>
      <c r="K28" s="30">
        <f>'2_Normalisasi'!K20</f>
        <v>1.1481683980317113E-2</v>
      </c>
      <c r="L28" s="30">
        <f>'2_Normalisasi'!L20</f>
        <v>0.74054054054054064</v>
      </c>
      <c r="M28" s="31">
        <f t="shared" si="0"/>
        <v>6.8424432881275079</v>
      </c>
      <c r="N28" s="32">
        <f t="shared" si="1"/>
        <v>0.80465295362278488</v>
      </c>
    </row>
    <row r="29" spans="1:14" ht="15" customHeight="1" x14ac:dyDescent="0.25">
      <c r="A29" s="28">
        <f>'2_Normalisasi'!A21</f>
        <v>14</v>
      </c>
      <c r="B29" s="18" t="str">
        <f>'2_Normalisasi'!B21</f>
        <v>Umbul Songo</v>
      </c>
      <c r="C29" s="30">
        <f>'2_Normalisasi'!C21</f>
        <v>0.88541187298670598</v>
      </c>
      <c r="D29" s="30">
        <f>'2_Normalisasi'!D21</f>
        <v>1</v>
      </c>
      <c r="E29" s="30">
        <f>'2_Normalisasi'!E21</f>
        <v>3.2733224222585926E-3</v>
      </c>
      <c r="F29" s="30">
        <f>'2_Normalisasi'!F21</f>
        <v>0.41666666666666663</v>
      </c>
      <c r="G29" s="30">
        <f>'2_Normalisasi'!G21</f>
        <v>0</v>
      </c>
      <c r="H29" s="30">
        <f>'2_Normalisasi'!H21</f>
        <v>0</v>
      </c>
      <c r="I29" s="30">
        <f>'2_Normalisasi'!I21</f>
        <v>1</v>
      </c>
      <c r="J29" s="30">
        <f>'2_Normalisasi'!J21</f>
        <v>0</v>
      </c>
      <c r="K29" s="30">
        <f>'2_Normalisasi'!K21</f>
        <v>1.9136139967195188E-3</v>
      </c>
      <c r="L29" s="30">
        <f>'2_Normalisasi'!L21</f>
        <v>0.42162162162162165</v>
      </c>
      <c r="M29" s="31">
        <f t="shared" si="0"/>
        <v>7.1716629038918329</v>
      </c>
      <c r="N29" s="32">
        <f t="shared" si="1"/>
        <v>0.91939605738670693</v>
      </c>
    </row>
    <row r="30" spans="1:14" ht="15" customHeight="1" x14ac:dyDescent="0.25">
      <c r="A30" s="28">
        <f>'2_Normalisasi'!A22</f>
        <v>15</v>
      </c>
      <c r="B30" s="18" t="str">
        <f>'2_Normalisasi'!B22</f>
        <v>Puthuk Mongkrong</v>
      </c>
      <c r="C30" s="30">
        <f>'2_Normalisasi'!C22</f>
        <v>2.116889093417626E-2</v>
      </c>
      <c r="D30" s="30">
        <f>'2_Normalisasi'!D22</f>
        <v>5.0854353132628871E-2</v>
      </c>
      <c r="E30" s="30">
        <f>'2_Normalisasi'!E22</f>
        <v>1.3911620294599018E-2</v>
      </c>
      <c r="F30" s="30">
        <f>'2_Normalisasi'!F22</f>
        <v>0.49999999999999961</v>
      </c>
      <c r="G30" s="30">
        <f>'2_Normalisasi'!G22</f>
        <v>0</v>
      </c>
      <c r="H30" s="30">
        <f>'2_Normalisasi'!H22</f>
        <v>0</v>
      </c>
      <c r="I30" s="30">
        <f>'2_Normalisasi'!I22</f>
        <v>1</v>
      </c>
      <c r="J30" s="30">
        <f>'2_Normalisasi'!J22</f>
        <v>0.66666666666666663</v>
      </c>
      <c r="K30" s="30">
        <f>'2_Normalisasi'!K22</f>
        <v>9.2946965554948063E-3</v>
      </c>
      <c r="L30" s="30">
        <f>'2_Normalisasi'!L22</f>
        <v>1</v>
      </c>
      <c r="M30" s="31">
        <f t="shared" si="0"/>
        <v>5.0379001977889502</v>
      </c>
      <c r="N30" s="32">
        <f t="shared" si="1"/>
        <v>1</v>
      </c>
    </row>
    <row r="31" spans="1:14" ht="15" customHeight="1" x14ac:dyDescent="0.25">
      <c r="L31" s="17" t="s">
        <v>117</v>
      </c>
      <c r="M31" s="29">
        <f>SUM(M16:M30)</f>
        <v>62.501907902431832</v>
      </c>
    </row>
    <row r="33" spans="1:15" ht="15" customHeight="1" x14ac:dyDescent="0.25">
      <c r="A33" s="8" t="s">
        <v>118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5" ht="15" customHeight="1" x14ac:dyDescent="0.25">
      <c r="A34" s="105" t="s">
        <v>119</v>
      </c>
      <c r="B34" s="105"/>
      <c r="C34" s="33">
        <f>INDEX('2_Normalisasi'!A8:A22,MATCH(MAX(M16:M30),M16:M30,0))</f>
        <v>14</v>
      </c>
    </row>
    <row r="35" spans="1:15" ht="51" customHeight="1" x14ac:dyDescent="0.25">
      <c r="A35" s="105" t="s">
        <v>35</v>
      </c>
      <c r="B35" s="105"/>
      <c r="C35" s="34" t="str">
        <f>INDEX('2_Normalisasi'!B8:B22,MATCH(MAX(M16:M30),M16:M30,0))</f>
        <v>Umbul Songo</v>
      </c>
    </row>
    <row r="36" spans="1:15" ht="32.25" customHeight="1" x14ac:dyDescent="0.25">
      <c r="A36" s="17" t="s">
        <v>120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6" t="s">
        <v>107</v>
      </c>
      <c r="H36" s="16" t="s">
        <v>108</v>
      </c>
      <c r="I36" s="16" t="s">
        <v>109</v>
      </c>
      <c r="J36" s="16" t="s">
        <v>110</v>
      </c>
      <c r="K36" s="16" t="s">
        <v>111</v>
      </c>
    </row>
    <row r="37" spans="1:15" ht="15" customHeight="1" x14ac:dyDescent="0.25">
      <c r="B37" s="29">
        <f>INDEX('2_Normalisasi'!C8:C22,MATCH(MAX(M16:M30),M16:M30,0))</f>
        <v>0.88541187298670598</v>
      </c>
      <c r="C37" s="29">
        <f>INDEX('2_Normalisasi'!D8:D22,MATCH(MAX(M16:M30),M16:M30,0))</f>
        <v>1</v>
      </c>
      <c r="D37" s="29">
        <f>INDEX('2_Normalisasi'!E8:E22,MATCH(MAX(M16:M30),M16:M30,0))</f>
        <v>3.2733224222585926E-3</v>
      </c>
      <c r="E37" s="29">
        <f>INDEX('2_Normalisasi'!F8:F22,MATCH(MAX(M16:M30),M16:M30,0))</f>
        <v>0.41666666666666663</v>
      </c>
      <c r="F37" s="29">
        <f>INDEX('2_Normalisasi'!G8:G22,MATCH(MAX(M16:M30),M16:M30,0))</f>
        <v>0</v>
      </c>
      <c r="G37" s="29">
        <f>INDEX('2_Normalisasi'!H8:H22,MATCH(MAX(M16:M30),M16:M30,0))</f>
        <v>0</v>
      </c>
      <c r="H37" s="29">
        <f>INDEX('2_Normalisasi'!I8:I22,MATCH(MAX(M16:M30),M16:M30,0))</f>
        <v>1</v>
      </c>
      <c r="I37" s="29">
        <f>INDEX('2_Normalisasi'!J8:J22,MATCH(MAX(M16:M30),M16:M30,0))</f>
        <v>0</v>
      </c>
      <c r="J37" s="29">
        <f>INDEX('2_Normalisasi'!K8:K22,MATCH(MAX(M16:M30),M16:M30,0))</f>
        <v>1.9136139967195188E-3</v>
      </c>
      <c r="K37" s="29">
        <f>INDEX('2_Normalisasi'!L8:L22,MATCH(MAX(M16:M30),M16:M30,0))</f>
        <v>0.42162162162162165</v>
      </c>
    </row>
    <row r="39" spans="1:15" ht="15" customHeight="1" x14ac:dyDescent="0.25">
      <c r="A39" s="8" t="s">
        <v>121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5" ht="27.75" customHeight="1" x14ac:dyDescent="0.25">
      <c r="A40" s="16" t="s">
        <v>34</v>
      </c>
      <c r="B40" s="16" t="s">
        <v>114</v>
      </c>
      <c r="C40" s="16" t="s">
        <v>102</v>
      </c>
      <c r="D40" s="16" t="s">
        <v>103</v>
      </c>
      <c r="E40" s="16" t="s">
        <v>104</v>
      </c>
      <c r="F40" s="16" t="s">
        <v>105</v>
      </c>
      <c r="G40" s="16" t="s">
        <v>106</v>
      </c>
      <c r="H40" s="16" t="s">
        <v>107</v>
      </c>
      <c r="I40" s="16" t="s">
        <v>108</v>
      </c>
      <c r="J40" s="16" t="s">
        <v>109</v>
      </c>
      <c r="K40" s="16" t="s">
        <v>110</v>
      </c>
      <c r="L40" s="16" t="s">
        <v>111</v>
      </c>
      <c r="M40" s="16" t="s">
        <v>122</v>
      </c>
      <c r="N40" s="16" t="s">
        <v>123</v>
      </c>
      <c r="O40" s="16" t="s">
        <v>124</v>
      </c>
    </row>
    <row r="41" spans="1:15" ht="15" customHeight="1" x14ac:dyDescent="0.25">
      <c r="A41" s="28">
        <f>'2_Normalisasi'!A8</f>
        <v>1</v>
      </c>
      <c r="B41" s="18" t="str">
        <f>'2_Normalisasi'!B8</f>
        <v>Candi Borobudur</v>
      </c>
      <c r="C41" s="30">
        <f>'2_Normalisasi'!C8</f>
        <v>3.9116428900129632E-2</v>
      </c>
      <c r="D41" s="30">
        <f>'2_Normalisasi'!D8</f>
        <v>1.3425549227015063E-2</v>
      </c>
      <c r="E41" s="30">
        <f>'2_Normalisasi'!E8</f>
        <v>1</v>
      </c>
      <c r="F41" s="30">
        <f>'2_Normalisasi'!F8</f>
        <v>1</v>
      </c>
      <c r="G41" s="30">
        <f>'2_Normalisasi'!G8</f>
        <v>1</v>
      </c>
      <c r="H41" s="30">
        <f>'2_Normalisasi'!H8</f>
        <v>1</v>
      </c>
      <c r="I41" s="30">
        <f>'2_Normalisasi'!I8</f>
        <v>0.66666666666666663</v>
      </c>
      <c r="J41" s="30">
        <f>'2_Normalisasi'!J8</f>
        <v>1</v>
      </c>
      <c r="K41" s="30">
        <f>'2_Normalisasi'!K8</f>
        <v>1</v>
      </c>
      <c r="L41" s="30">
        <f>'2_Normalisasi'!L8</f>
        <v>0.2189189189189189</v>
      </c>
      <c r="M41" s="31">
        <f t="shared" ref="M41:M55" si="2">(C41-B$37)^2+(D41-C$37)^2+(E41-D$37)^2+(F41-E$37)^2+(G41-F$37)^2+(H41-G$37)^2+(I41-H$37)^2+(J41-I$37)^2+(K41-J$37)^2+(L41-K$37)^2</f>
        <v>7.1716629038918329</v>
      </c>
      <c r="N41" s="35">
        <f>MIN('3_KMeans++_Init'!M16,'3_KMeans++_Init'!M41)</f>
        <v>0</v>
      </c>
      <c r="O41" s="32">
        <f>N41/SUM(N$41:N$55)</f>
        <v>0</v>
      </c>
    </row>
    <row r="42" spans="1:15" ht="15" customHeight="1" x14ac:dyDescent="0.25">
      <c r="A42" s="28">
        <f>'2_Normalisasi'!A9</f>
        <v>2</v>
      </c>
      <c r="B42" s="18" t="str">
        <f>'2_Normalisasi'!B9</f>
        <v>Punthuk Setumbu</v>
      </c>
      <c r="C42" s="30">
        <f>'2_Normalisasi'!C9</f>
        <v>0</v>
      </c>
      <c r="D42" s="30">
        <f>'2_Normalisasi'!D9</f>
        <v>3.5394629780309814E-2</v>
      </c>
      <c r="E42" s="30">
        <f>'2_Normalisasi'!E9</f>
        <v>0.12847790507364976</v>
      </c>
      <c r="F42" s="30">
        <f>'2_Normalisasi'!F9</f>
        <v>0.83333333333333326</v>
      </c>
      <c r="G42" s="30">
        <f>'2_Normalisasi'!G9</f>
        <v>0.33333333333333331</v>
      </c>
      <c r="H42" s="30">
        <f>'2_Normalisasi'!H9</f>
        <v>0.33333333333333331</v>
      </c>
      <c r="I42" s="30">
        <f>'2_Normalisasi'!I9</f>
        <v>1</v>
      </c>
      <c r="J42" s="30">
        <f>'2_Normalisasi'!J9</f>
        <v>0.66666666666666663</v>
      </c>
      <c r="K42" s="30">
        <f>'2_Normalisasi'!K9</f>
        <v>0.14160743575724438</v>
      </c>
      <c r="L42" s="30">
        <f>'2_Normalisasi'!L9</f>
        <v>0.38648648648648648</v>
      </c>
      <c r="M42" s="31">
        <f t="shared" si="2"/>
        <v>2.5911205119362051</v>
      </c>
      <c r="N42" s="35">
        <f>MIN('3_KMeans++_Init'!M17,'3_KMeans++_Init'!M42)</f>
        <v>2.5911205119362051</v>
      </c>
      <c r="O42" s="32">
        <f t="shared" ref="O42:O55" si="3">O41+N42/SUM(N$41:N$55)</f>
        <v>0.10639651386199069</v>
      </c>
    </row>
    <row r="43" spans="1:15" ht="15" customHeight="1" x14ac:dyDescent="0.25">
      <c r="A43" s="28">
        <f>'2_Normalisasi'!A10</f>
        <v>3</v>
      </c>
      <c r="B43" s="18" t="str">
        <f>'2_Normalisasi'!B10</f>
        <v>Candi Pawon</v>
      </c>
      <c r="C43" s="30">
        <f>'2_Normalisasi'!C10</f>
        <v>7.0409572020233333E-2</v>
      </c>
      <c r="D43" s="30">
        <f>'2_Normalisasi'!D10</f>
        <v>0</v>
      </c>
      <c r="E43" s="30">
        <f>'2_Normalisasi'!E10</f>
        <v>5.4828150572831427E-2</v>
      </c>
      <c r="F43" s="30">
        <f>'2_Normalisasi'!F10</f>
        <v>0.41666666666666663</v>
      </c>
      <c r="G43" s="30">
        <f>'2_Normalisasi'!G10</f>
        <v>0.66666666666666663</v>
      </c>
      <c r="H43" s="30">
        <f>'2_Normalisasi'!H10</f>
        <v>0.33333333333333331</v>
      </c>
      <c r="I43" s="30">
        <f>'2_Normalisasi'!I10</f>
        <v>0.33333333333333331</v>
      </c>
      <c r="J43" s="30">
        <f>'2_Normalisasi'!J10</f>
        <v>1</v>
      </c>
      <c r="K43" s="30">
        <f>'2_Normalisasi'!K10</f>
        <v>3.4991798797156914E-2</v>
      </c>
      <c r="L43" s="30">
        <f>'2_Normalisasi'!L10</f>
        <v>0.10810810810810811</v>
      </c>
      <c r="M43" s="31">
        <f t="shared" si="2"/>
        <v>3.7662715403515601</v>
      </c>
      <c r="N43" s="35">
        <f>MIN('3_KMeans++_Init'!M18,'3_KMeans++_Init'!M43)</f>
        <v>2.844973639753698</v>
      </c>
      <c r="O43" s="32">
        <f t="shared" si="3"/>
        <v>0.22321673735397507</v>
      </c>
    </row>
    <row r="44" spans="1:15" ht="15" customHeight="1" x14ac:dyDescent="0.25">
      <c r="A44" s="28">
        <f>'2_Normalisasi'!A11</f>
        <v>4</v>
      </c>
      <c r="B44" s="18" t="str">
        <f>'2_Normalisasi'!B11</f>
        <v>Candi Mendut</v>
      </c>
      <c r="C44" s="30">
        <f>'2_Normalisasi'!C11</f>
        <v>0.15002300966407275</v>
      </c>
      <c r="D44" s="30">
        <f>'2_Normalisasi'!D11</f>
        <v>4.719283970708095E-2</v>
      </c>
      <c r="E44" s="30">
        <f>'2_Normalisasi'!E11</f>
        <v>7.9378068739770866E-2</v>
      </c>
      <c r="F44" s="30">
        <f>'2_Normalisasi'!F11</f>
        <v>0.49999999999999961</v>
      </c>
      <c r="G44" s="30">
        <f>'2_Normalisasi'!G11</f>
        <v>0.66666666666666663</v>
      </c>
      <c r="H44" s="30">
        <f>'2_Normalisasi'!H11</f>
        <v>0.66666666666666663</v>
      </c>
      <c r="I44" s="30">
        <f>'2_Normalisasi'!I11</f>
        <v>0.33333333333333331</v>
      </c>
      <c r="J44" s="30">
        <f>'2_Normalisasi'!J11</f>
        <v>1</v>
      </c>
      <c r="K44" s="30">
        <f>'2_Normalisasi'!K11</f>
        <v>5.4127938764352103E-2</v>
      </c>
      <c r="L44" s="30">
        <f>'2_Normalisasi'!L11</f>
        <v>0.14324324324324325</v>
      </c>
      <c r="M44" s="31">
        <f t="shared" si="2"/>
        <v>3.8749288324537572</v>
      </c>
      <c r="N44" s="35">
        <f>MIN('3_KMeans++_Init'!M19,'3_KMeans++_Init'!M44)</f>
        <v>2.3447193373289057</v>
      </c>
      <c r="O44" s="32">
        <f t="shared" si="3"/>
        <v>0.31949553346839316</v>
      </c>
    </row>
    <row r="45" spans="1:15" ht="15" customHeight="1" x14ac:dyDescent="0.25">
      <c r="A45" s="28">
        <f>'2_Normalisasi'!A12</f>
        <v>5</v>
      </c>
      <c r="B45" s="18" t="str">
        <f>'2_Normalisasi'!B12</f>
        <v>Ketep Pass</v>
      </c>
      <c r="C45" s="30">
        <f>'2_Normalisasi'!C12</f>
        <v>0.28163828808099872</v>
      </c>
      <c r="D45" s="30">
        <f>'2_Normalisasi'!D12</f>
        <v>0.10781122864117336</v>
      </c>
      <c r="E45" s="30">
        <f>'2_Normalisasi'!E12</f>
        <v>0.14893617021276595</v>
      </c>
      <c r="F45" s="30">
        <f>'2_Normalisasi'!F12</f>
        <v>0.66666666666666641</v>
      </c>
      <c r="G45" s="30">
        <f>'2_Normalisasi'!G12</f>
        <v>0.33333333333333331</v>
      </c>
      <c r="H45" s="30">
        <f>'2_Normalisasi'!H12</f>
        <v>0.66666666666666663</v>
      </c>
      <c r="I45" s="30">
        <f>'2_Normalisasi'!I12</f>
        <v>1</v>
      </c>
      <c r="J45" s="30">
        <f>'2_Normalisasi'!J12</f>
        <v>0.33333333333333331</v>
      </c>
      <c r="K45" s="30">
        <f>'2_Normalisasi'!K12</f>
        <v>0.15800984144341171</v>
      </c>
      <c r="L45" s="30">
        <f>'2_Normalisasi'!L12</f>
        <v>0.3108108108108108</v>
      </c>
      <c r="M45" s="31">
        <f t="shared" si="2"/>
        <v>1.9475727454774079</v>
      </c>
      <c r="N45" s="35">
        <f>MIN('3_KMeans++_Init'!M20,'3_KMeans++_Init'!M45)</f>
        <v>1.9475727454774079</v>
      </c>
      <c r="O45" s="32">
        <f t="shared" si="3"/>
        <v>0.39946670796871842</v>
      </c>
    </row>
    <row r="46" spans="1:15" ht="15" customHeight="1" x14ac:dyDescent="0.25">
      <c r="A46" s="28">
        <f>'2_Normalisasi'!A13</f>
        <v>6</v>
      </c>
      <c r="B46" s="18" t="str">
        <f>'2_Normalisasi'!B13</f>
        <v>Kopeng</v>
      </c>
      <c r="C46" s="30">
        <f>'2_Normalisasi'!C13</f>
        <v>0.94799815922691344</v>
      </c>
      <c r="D46" s="30">
        <f>'2_Normalisasi'!D13</f>
        <v>0.86533767290480013</v>
      </c>
      <c r="E46" s="30">
        <f>'2_Normalisasi'!E13</f>
        <v>5.7283142389525366E-2</v>
      </c>
      <c r="F46" s="30">
        <f>'2_Normalisasi'!F13</f>
        <v>8.3333333333333023E-2</v>
      </c>
      <c r="G46" s="30">
        <f>'2_Normalisasi'!G13</f>
        <v>0.33333333333333331</v>
      </c>
      <c r="H46" s="30">
        <f>'2_Normalisasi'!H13</f>
        <v>0.33333333333333331</v>
      </c>
      <c r="I46" s="30">
        <f>'2_Normalisasi'!I13</f>
        <v>0.66666666666666663</v>
      </c>
      <c r="J46" s="30">
        <f>'2_Normalisasi'!J13</f>
        <v>0</v>
      </c>
      <c r="K46" s="30">
        <f>'2_Normalisasi'!K13</f>
        <v>3.116457080371788E-2</v>
      </c>
      <c r="L46" s="30">
        <f>'2_Normalisasi'!L13</f>
        <v>2.9729729729729718E-2</v>
      </c>
      <c r="M46" s="31">
        <f t="shared" si="2"/>
        <v>0.62384736406610819</v>
      </c>
      <c r="N46" s="35">
        <f>MIN('3_KMeans++_Init'!M21,'3_KMeans++_Init'!M46)</f>
        <v>0.62384736406610819</v>
      </c>
      <c r="O46" s="32">
        <f t="shared" si="3"/>
        <v>0.42508310998972182</v>
      </c>
    </row>
    <row r="47" spans="1:15" ht="15" customHeight="1" x14ac:dyDescent="0.25">
      <c r="A47" s="28">
        <f>'2_Normalisasi'!A14</f>
        <v>7</v>
      </c>
      <c r="B47" s="18" t="str">
        <f>'2_Normalisasi'!B14</f>
        <v>Air Terjun Kedung Kayang</v>
      </c>
      <c r="C47" s="30">
        <f>'2_Normalisasi'!C14</f>
        <v>0.33916244822827513</v>
      </c>
      <c r="D47" s="30">
        <f>'2_Normalisasi'!D14</f>
        <v>0.16273393002441022</v>
      </c>
      <c r="E47" s="30">
        <f>'2_Normalisasi'!E14</f>
        <v>1.1456628477905073E-2</v>
      </c>
      <c r="F47" s="30">
        <f>'2_Normalisasi'!F14</f>
        <v>0.58333333333333337</v>
      </c>
      <c r="G47" s="30">
        <f>'2_Normalisasi'!G14</f>
        <v>0</v>
      </c>
      <c r="H47" s="30">
        <f>'2_Normalisasi'!H14</f>
        <v>0</v>
      </c>
      <c r="I47" s="30">
        <f>'2_Normalisasi'!I14</f>
        <v>1</v>
      </c>
      <c r="J47" s="30">
        <f>'2_Normalisasi'!J14</f>
        <v>0</v>
      </c>
      <c r="K47" s="30">
        <f>'2_Normalisasi'!K14</f>
        <v>6.0142154182613447E-3</v>
      </c>
      <c r="L47" s="30">
        <f>'2_Normalisasi'!L14</f>
        <v>0.48378378378378378</v>
      </c>
      <c r="M47" s="31">
        <f t="shared" si="2"/>
        <v>1.0311285995937576</v>
      </c>
      <c r="N47" s="35">
        <f>MIN('3_KMeans++_Init'!M22,'3_KMeans++_Init'!M47)</f>
        <v>1.0311285995937576</v>
      </c>
      <c r="O47" s="32">
        <f t="shared" si="3"/>
        <v>0.46742328206384626</v>
      </c>
    </row>
    <row r="48" spans="1:15" ht="15" customHeight="1" x14ac:dyDescent="0.25">
      <c r="A48" s="28">
        <f>'2_Normalisasi'!A15</f>
        <v>8</v>
      </c>
      <c r="B48" s="18" t="str">
        <f>'2_Normalisasi'!B15</f>
        <v>Telaga Bleder</v>
      </c>
      <c r="C48" s="30">
        <f>'2_Normalisasi'!C15</f>
        <v>0.58122411412795083</v>
      </c>
      <c r="D48" s="30">
        <f>'2_Normalisasi'!D15</f>
        <v>0.52441008950366064</v>
      </c>
      <c r="E48" s="30">
        <f>'2_Normalisasi'!E15</f>
        <v>5.7283142389525366E-3</v>
      </c>
      <c r="F48" s="30">
        <f>'2_Normalisasi'!F15</f>
        <v>0.16666666666666641</v>
      </c>
      <c r="G48" s="30">
        <f>'2_Normalisasi'!G15</f>
        <v>0</v>
      </c>
      <c r="H48" s="30">
        <f>'2_Normalisasi'!H15</f>
        <v>0</v>
      </c>
      <c r="I48" s="30">
        <f>'2_Normalisasi'!I15</f>
        <v>0.66666666666666663</v>
      </c>
      <c r="J48" s="30">
        <f>'2_Normalisasi'!J15</f>
        <v>0</v>
      </c>
      <c r="K48" s="30">
        <f>'2_Normalisasi'!K15</f>
        <v>3.8272279934390375E-3</v>
      </c>
      <c r="L48" s="30">
        <f>'2_Normalisasi'!L15</f>
        <v>0.20540540540540536</v>
      </c>
      <c r="M48" s="31">
        <f t="shared" si="2"/>
        <v>0.53908620777474558</v>
      </c>
      <c r="N48" s="35">
        <f>MIN('3_KMeans++_Init'!M23,'3_KMeans++_Init'!M48)</f>
        <v>0.53908620777474558</v>
      </c>
      <c r="O48" s="32">
        <f t="shared" si="3"/>
        <v>0.4895592239909371</v>
      </c>
    </row>
    <row r="49" spans="1:15" ht="15" customHeight="1" x14ac:dyDescent="0.25">
      <c r="A49" s="28">
        <f>'2_Normalisasi'!A16</f>
        <v>9</v>
      </c>
      <c r="B49" s="18" t="str">
        <f>'2_Normalisasi'!B16</f>
        <v>Bukit Rhema (Gereja Ayam)</v>
      </c>
      <c r="C49" s="30">
        <f>'2_Normalisasi'!C16</f>
        <v>3.1753336401297086E-2</v>
      </c>
      <c r="D49" s="30">
        <f>'2_Normalisasi'!D16</f>
        <v>3.010577705451797E-2</v>
      </c>
      <c r="E49" s="30">
        <f>'2_Normalisasi'!E16</f>
        <v>0.11211129296235679</v>
      </c>
      <c r="F49" s="30">
        <f>'2_Normalisasi'!F16</f>
        <v>0.74999999999999944</v>
      </c>
      <c r="G49" s="30">
        <f>'2_Normalisasi'!G16</f>
        <v>0.33333333333333331</v>
      </c>
      <c r="H49" s="30">
        <f>'2_Normalisasi'!H16</f>
        <v>0.33333333333333331</v>
      </c>
      <c r="I49" s="30">
        <f>'2_Normalisasi'!I16</f>
        <v>0.66666666666666663</v>
      </c>
      <c r="J49" s="30">
        <f>'2_Normalisasi'!J16</f>
        <v>0.66666666666666663</v>
      </c>
      <c r="K49" s="30">
        <f>'2_Normalisasi'!K16</f>
        <v>0.10333515582285402</v>
      </c>
      <c r="L49" s="30">
        <f>'2_Normalisasi'!L16</f>
        <v>0.83783783783783783</v>
      </c>
      <c r="M49" s="31">
        <f t="shared" si="2"/>
        <v>2.7536845612960725</v>
      </c>
      <c r="N49" s="35">
        <f>MIN('3_KMeans++_Init'!M24,'3_KMeans++_Init'!M49)</f>
        <v>2.7536845612960725</v>
      </c>
      <c r="O49" s="32">
        <f t="shared" si="3"/>
        <v>0.6026309380419973</v>
      </c>
    </row>
    <row r="50" spans="1:15" ht="15" customHeight="1" x14ac:dyDescent="0.25">
      <c r="A50" s="28">
        <f>'2_Normalisasi'!A17</f>
        <v>10</v>
      </c>
      <c r="B50" s="18" t="str">
        <f>'2_Normalisasi'!B17</f>
        <v>Sawah Sukomakmur</v>
      </c>
      <c r="C50" s="30">
        <f>'2_Normalisasi'!C17</f>
        <v>0.17579383341005206</v>
      </c>
      <c r="D50" s="30">
        <f>'2_Normalisasi'!D17</f>
        <v>0.16842961757526576</v>
      </c>
      <c r="E50" s="30">
        <f>'2_Normalisasi'!E17</f>
        <v>0</v>
      </c>
      <c r="F50" s="30">
        <f>'2_Normalisasi'!F17</f>
        <v>0.33333333333333282</v>
      </c>
      <c r="G50" s="30">
        <f>'2_Normalisasi'!G17</f>
        <v>0</v>
      </c>
      <c r="H50" s="30">
        <f>'2_Normalisasi'!H17</f>
        <v>0</v>
      </c>
      <c r="I50" s="30">
        <f>'2_Normalisasi'!I17</f>
        <v>1</v>
      </c>
      <c r="J50" s="30">
        <f>'2_Normalisasi'!J17</f>
        <v>0.33333333333333331</v>
      </c>
      <c r="K50" s="30">
        <f>'2_Normalisasi'!K17</f>
        <v>0</v>
      </c>
      <c r="L50" s="30">
        <f>'2_Normalisasi'!L17</f>
        <v>0.65405405405405392</v>
      </c>
      <c r="M50" s="31">
        <f t="shared" si="2"/>
        <v>1.3671618307788538</v>
      </c>
      <c r="N50" s="35">
        <f>MIN('3_KMeans++_Init'!M25,'3_KMeans++_Init'!M50)</f>
        <v>1.3671618307788538</v>
      </c>
      <c r="O50" s="32">
        <f t="shared" si="3"/>
        <v>0.65876929672117412</v>
      </c>
    </row>
    <row r="51" spans="1:15" ht="15" customHeight="1" x14ac:dyDescent="0.25">
      <c r="A51" s="28">
        <f>'2_Normalisasi'!A18</f>
        <v>11</v>
      </c>
      <c r="B51" s="18" t="str">
        <f>'2_Normalisasi'!B18</f>
        <v>Museum Karmawibhangga</v>
      </c>
      <c r="C51" s="30">
        <f>'2_Normalisasi'!C18</f>
        <v>4.0036815462516397E-2</v>
      </c>
      <c r="D51" s="30">
        <f>'2_Normalisasi'!D18</f>
        <v>1.2205044751831219E-2</v>
      </c>
      <c r="E51" s="30">
        <f>'2_Normalisasi'!E18</f>
        <v>4.8281505728314238E-2</v>
      </c>
      <c r="F51" s="30">
        <f>'2_Normalisasi'!F18</f>
        <v>0.24999999999999981</v>
      </c>
      <c r="G51" s="30">
        <f>'2_Normalisasi'!G18</f>
        <v>1</v>
      </c>
      <c r="H51" s="30">
        <f>'2_Normalisasi'!H18</f>
        <v>0.66666666666666663</v>
      </c>
      <c r="I51" s="30">
        <f>'2_Normalisasi'!I18</f>
        <v>0</v>
      </c>
      <c r="J51" s="30">
        <f>'2_Normalisasi'!J18</f>
        <v>1</v>
      </c>
      <c r="K51" s="30">
        <f>'2_Normalisasi'!K18</f>
        <v>2.4056861673045379E-2</v>
      </c>
      <c r="L51" s="30">
        <f>'2_Normalisasi'!L18</f>
        <v>5.135135135135134E-2</v>
      </c>
      <c r="M51" s="31">
        <f t="shared" si="2"/>
        <v>5.3022362167481676</v>
      </c>
      <c r="N51" s="35">
        <f>MIN('3_KMeans++_Init'!M26,'3_KMeans++_Init'!M51)</f>
        <v>3.0043698835848955</v>
      </c>
      <c r="O51" s="32">
        <f t="shared" si="3"/>
        <v>0.78213464406525701</v>
      </c>
    </row>
    <row r="52" spans="1:15" ht="15" customHeight="1" x14ac:dyDescent="0.25">
      <c r="A52" s="28">
        <f>'2_Normalisasi'!A19</f>
        <v>12</v>
      </c>
      <c r="B52" s="18" t="str">
        <f>'2_Normalisasi'!B19</f>
        <v>Taman Kyai Langgeng</v>
      </c>
      <c r="C52" s="30">
        <f>'2_Normalisasi'!C19</f>
        <v>0.10308329498391719</v>
      </c>
      <c r="D52" s="30">
        <f>'2_Normalisasi'!D19</f>
        <v>0.56590724165988604</v>
      </c>
      <c r="E52" s="30">
        <f>'2_Normalisasi'!E19</f>
        <v>9.5744680851063829E-2</v>
      </c>
      <c r="F52" s="30">
        <f>'2_Normalisasi'!F19</f>
        <v>0</v>
      </c>
      <c r="G52" s="30">
        <f>'2_Normalisasi'!G19</f>
        <v>0.66666666666666663</v>
      </c>
      <c r="H52" s="30">
        <f>'2_Normalisasi'!H19</f>
        <v>0.66666666666666663</v>
      </c>
      <c r="I52" s="30">
        <f>'2_Normalisasi'!I19</f>
        <v>0.33333333333333331</v>
      </c>
      <c r="J52" s="30">
        <f>'2_Normalisasi'!J19</f>
        <v>0.33333333333333331</v>
      </c>
      <c r="K52" s="30">
        <f>'2_Normalisasi'!K19</f>
        <v>8.9666484417714604E-2</v>
      </c>
      <c r="L52" s="30">
        <f>'2_Normalisasi'!L19</f>
        <v>0</v>
      </c>
      <c r="M52" s="31">
        <f t="shared" si="2"/>
        <v>2.6125463925743881</v>
      </c>
      <c r="N52" s="35">
        <f>MIN('3_KMeans++_Init'!M27,'3_KMeans++_Init'!M52)</f>
        <v>2.6125463925743881</v>
      </c>
      <c r="O52" s="32">
        <f t="shared" si="3"/>
        <v>0.8894109468046173</v>
      </c>
    </row>
    <row r="53" spans="1:15" ht="15" customHeight="1" x14ac:dyDescent="0.25">
      <c r="A53" s="28">
        <f>'2_Normalisasi'!A20</f>
        <v>13</v>
      </c>
      <c r="B53" s="18" t="str">
        <f>'2_Normalisasi'!B20</f>
        <v>Gunung Andong</v>
      </c>
      <c r="C53" s="30">
        <f>'2_Normalisasi'!C20</f>
        <v>1</v>
      </c>
      <c r="D53" s="30">
        <f>'2_Normalisasi'!D20</f>
        <v>0.71440195280716101</v>
      </c>
      <c r="E53" s="30">
        <f>'2_Normalisasi'!E20</f>
        <v>2.20949263502455E-2</v>
      </c>
      <c r="F53" s="30">
        <f>'2_Normalisasi'!F20</f>
        <v>0.66666666666666641</v>
      </c>
      <c r="G53" s="30">
        <f>'2_Normalisasi'!G20</f>
        <v>0</v>
      </c>
      <c r="H53" s="30">
        <f>'2_Normalisasi'!H20</f>
        <v>0</v>
      </c>
      <c r="I53" s="30">
        <f>'2_Normalisasi'!I20</f>
        <v>1</v>
      </c>
      <c r="J53" s="30">
        <f>'2_Normalisasi'!J20</f>
        <v>0</v>
      </c>
      <c r="K53" s="30">
        <f>'2_Normalisasi'!K20</f>
        <v>1.1481683980317113E-2</v>
      </c>
      <c r="L53" s="30">
        <f>'2_Normalisasi'!L20</f>
        <v>0.74054054054054064</v>
      </c>
      <c r="M53" s="31">
        <f t="shared" si="2"/>
        <v>0.25935176099482282</v>
      </c>
      <c r="N53" s="35">
        <f>MIN('3_KMeans++_Init'!M28,'3_KMeans++_Init'!M53)</f>
        <v>0.25935176099482282</v>
      </c>
      <c r="O53" s="32">
        <f t="shared" si="3"/>
        <v>0.90006044114758699</v>
      </c>
    </row>
    <row r="54" spans="1:15" ht="15" customHeight="1" x14ac:dyDescent="0.25">
      <c r="A54" s="28">
        <f>'2_Normalisasi'!A21</f>
        <v>14</v>
      </c>
      <c r="B54" s="18" t="str">
        <f>'2_Normalisasi'!B21</f>
        <v>Umbul Songo</v>
      </c>
      <c r="C54" s="30">
        <f>'2_Normalisasi'!C21</f>
        <v>0.88541187298670598</v>
      </c>
      <c r="D54" s="30">
        <f>'2_Normalisasi'!D21</f>
        <v>1</v>
      </c>
      <c r="E54" s="30">
        <f>'2_Normalisasi'!E21</f>
        <v>3.2733224222585926E-3</v>
      </c>
      <c r="F54" s="30">
        <f>'2_Normalisasi'!F21</f>
        <v>0.41666666666666663</v>
      </c>
      <c r="G54" s="30">
        <f>'2_Normalisasi'!G21</f>
        <v>0</v>
      </c>
      <c r="H54" s="30">
        <f>'2_Normalisasi'!H21</f>
        <v>0</v>
      </c>
      <c r="I54" s="30">
        <f>'2_Normalisasi'!I21</f>
        <v>1</v>
      </c>
      <c r="J54" s="30">
        <f>'2_Normalisasi'!J21</f>
        <v>0</v>
      </c>
      <c r="K54" s="30">
        <f>'2_Normalisasi'!K21</f>
        <v>1.9136139967195188E-3</v>
      </c>
      <c r="L54" s="30">
        <f>'2_Normalisasi'!L21</f>
        <v>0.42162162162162165</v>
      </c>
      <c r="M54" s="31">
        <f t="shared" si="2"/>
        <v>0</v>
      </c>
      <c r="N54" s="35">
        <f>MIN('3_KMeans++_Init'!M29,'3_KMeans++_Init'!M54)</f>
        <v>0</v>
      </c>
      <c r="O54" s="32">
        <f t="shared" si="3"/>
        <v>0.90006044114758699</v>
      </c>
    </row>
    <row r="55" spans="1:15" ht="15" customHeight="1" x14ac:dyDescent="0.25">
      <c r="A55" s="28">
        <f>'2_Normalisasi'!A22</f>
        <v>15</v>
      </c>
      <c r="B55" s="18" t="str">
        <f>'2_Normalisasi'!B22</f>
        <v>Puthuk Mongkrong</v>
      </c>
      <c r="C55" s="30">
        <f>'2_Normalisasi'!C22</f>
        <v>2.116889093417626E-2</v>
      </c>
      <c r="D55" s="30">
        <f>'2_Normalisasi'!D22</f>
        <v>5.0854353132628871E-2</v>
      </c>
      <c r="E55" s="30">
        <f>'2_Normalisasi'!E22</f>
        <v>1.3911620294599018E-2</v>
      </c>
      <c r="F55" s="30">
        <f>'2_Normalisasi'!F22</f>
        <v>0.49999999999999961</v>
      </c>
      <c r="G55" s="30">
        <f>'2_Normalisasi'!G22</f>
        <v>0</v>
      </c>
      <c r="H55" s="30">
        <f>'2_Normalisasi'!H22</f>
        <v>0</v>
      </c>
      <c r="I55" s="30">
        <f>'2_Normalisasi'!I22</f>
        <v>1</v>
      </c>
      <c r="J55" s="30">
        <f>'2_Normalisasi'!J22</f>
        <v>0.66666666666666663</v>
      </c>
      <c r="K55" s="30">
        <f>'2_Normalisasi'!K22</f>
        <v>9.2946965554948063E-3</v>
      </c>
      <c r="L55" s="30">
        <f>'2_Normalisasi'!L22</f>
        <v>1</v>
      </c>
      <c r="M55" s="31">
        <f t="shared" si="2"/>
        <v>2.433871482220181</v>
      </c>
      <c r="N55" s="35">
        <f>MIN('3_KMeans++_Init'!M30,'3_KMeans++_Init'!M55)</f>
        <v>2.433871482220181</v>
      </c>
      <c r="O55" s="32">
        <f t="shared" si="3"/>
        <v>1.0000000000000002</v>
      </c>
    </row>
    <row r="56" spans="1:15" ht="15" customHeight="1" x14ac:dyDescent="0.25">
      <c r="A56" s="105" t="s">
        <v>125</v>
      </c>
      <c r="B56" s="105"/>
      <c r="C56" s="33">
        <f>INDEX('2_Normalisasi'!A8:A22,MATCH(MAX(N41:N55),N41:N55,0))</f>
        <v>11</v>
      </c>
    </row>
    <row r="57" spans="1:15" ht="43.5" customHeight="1" x14ac:dyDescent="0.25">
      <c r="A57" s="105" t="s">
        <v>126</v>
      </c>
      <c r="B57" s="105"/>
      <c r="C57" s="34" t="str">
        <f>INDEX('2_Normalisasi'!B8:B22,MATCH(MAX(N41:N55),N41:N55,0))</f>
        <v>Museum Karmawibhangga</v>
      </c>
    </row>
    <row r="58" spans="1:15" ht="32.25" customHeight="1" x14ac:dyDescent="0.25">
      <c r="A58" s="17" t="s">
        <v>127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6" t="s">
        <v>107</v>
      </c>
      <c r="H58" s="16" t="s">
        <v>108</v>
      </c>
      <c r="I58" s="16" t="s">
        <v>109</v>
      </c>
      <c r="J58" s="16" t="s">
        <v>110</v>
      </c>
      <c r="K58" s="16" t="s">
        <v>111</v>
      </c>
    </row>
    <row r="59" spans="1:15" ht="15" customHeight="1" x14ac:dyDescent="0.25">
      <c r="B59" s="29">
        <f>INDEX('2_Normalisasi'!C8:C22,MATCH(MAX(N41:N55),N41:N55,0))</f>
        <v>4.0036815462516397E-2</v>
      </c>
      <c r="C59" s="29">
        <f>INDEX('2_Normalisasi'!D8:D22,MATCH(MAX(N41:N55),N41:N55,0))</f>
        <v>1.2205044751831219E-2</v>
      </c>
      <c r="D59" s="29">
        <f>INDEX('2_Normalisasi'!E8:E22,MATCH(MAX(N41:N55),N41:N55,0))</f>
        <v>4.8281505728314238E-2</v>
      </c>
      <c r="E59" s="29">
        <f>INDEX('2_Normalisasi'!F8:F22,MATCH(MAX(N41:N55),N41:N55,0))</f>
        <v>0.24999999999999981</v>
      </c>
      <c r="F59" s="29">
        <f>INDEX('2_Normalisasi'!G8:G22,MATCH(MAX(N41:N55),N41:N55,0))</f>
        <v>1</v>
      </c>
      <c r="G59" s="29">
        <f>INDEX('2_Normalisasi'!H8:H22,MATCH(MAX(N41:N55),N41:N55,0))</f>
        <v>0.66666666666666663</v>
      </c>
      <c r="H59" s="29">
        <f>INDEX('2_Normalisasi'!I8:I22,MATCH(MAX(N41:N55),N41:N55,0))</f>
        <v>0</v>
      </c>
      <c r="I59" s="29">
        <f>INDEX('2_Normalisasi'!J8:J22,MATCH(MAX(N41:N55),N41:N55,0))</f>
        <v>1</v>
      </c>
      <c r="J59" s="29">
        <f>INDEX('2_Normalisasi'!K8:K22,MATCH(MAX(N41:N55),N41:N55,0))</f>
        <v>2.4056861673045379E-2</v>
      </c>
      <c r="K59" s="29">
        <f>INDEX('2_Normalisasi'!L8:L22,MATCH(MAX(N41:N55),N41:N55,0))</f>
        <v>5.135135135135134E-2</v>
      </c>
    </row>
  </sheetData>
  <mergeCells count="19">
    <mergeCell ref="A39:N39"/>
    <mergeCell ref="A56:B56"/>
    <mergeCell ref="A57:B57"/>
    <mergeCell ref="A10:N10"/>
    <mergeCell ref="A14:N14"/>
    <mergeCell ref="A33:N33"/>
    <mergeCell ref="A34:B34"/>
    <mergeCell ref="A35:B35"/>
    <mergeCell ref="A6:B6"/>
    <mergeCell ref="C6:D6"/>
    <mergeCell ref="A7:B7"/>
    <mergeCell ref="C7:D7"/>
    <mergeCell ref="A8:B8"/>
    <mergeCell ref="C8:D8"/>
    <mergeCell ref="A1:N1"/>
    <mergeCell ref="A2:N2"/>
    <mergeCell ref="A4:D4"/>
    <mergeCell ref="A5:B5"/>
    <mergeCell ref="C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Views>
    <sheetView tabSelected="1" topLeftCell="A45" zoomScale="90" zoomScaleNormal="90" workbookViewId="0">
      <selection activeCell="J71" sqref="J71"/>
    </sheetView>
  </sheetViews>
  <sheetFormatPr defaultColWidth="8.7109375" defaultRowHeight="15" x14ac:dyDescent="0.25"/>
  <cols>
    <col min="1" max="1" width="22" style="15" customWidth="1"/>
    <col min="2" max="2" width="18" style="15" customWidth="1"/>
    <col min="3" max="16" width="11" style="15" customWidth="1"/>
    <col min="17" max="17" width="24" style="15" customWidth="1"/>
  </cols>
  <sheetData>
    <row r="1" spans="1:18" ht="27.75" customHeight="1" x14ac:dyDescent="0.25">
      <c r="A1" s="7" t="s">
        <v>128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15" customHeight="1" x14ac:dyDescent="0.25">
      <c r="A2" s="106" t="s">
        <v>129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</row>
    <row r="4" spans="1:18" ht="27.75" customHeight="1" x14ac:dyDescent="0.25">
      <c r="A4" s="107" t="s">
        <v>130</v>
      </c>
      <c r="B4" s="107"/>
      <c r="C4" s="16" t="s">
        <v>102</v>
      </c>
      <c r="D4" s="16" t="s">
        <v>103</v>
      </c>
      <c r="E4" s="16" t="s">
        <v>104</v>
      </c>
      <c r="F4" s="16" t="s">
        <v>105</v>
      </c>
      <c r="G4" s="16" t="s">
        <v>106</v>
      </c>
      <c r="H4" s="16" t="s">
        <v>107</v>
      </c>
      <c r="I4" s="16" t="s">
        <v>108</v>
      </c>
      <c r="J4" s="16" t="s">
        <v>109</v>
      </c>
      <c r="K4" s="16" t="s">
        <v>110</v>
      </c>
      <c r="L4" s="16" t="s">
        <v>111</v>
      </c>
    </row>
    <row r="5" spans="1:18" ht="32.25" customHeight="1" x14ac:dyDescent="0.25">
      <c r="A5" s="108" t="s">
        <v>131</v>
      </c>
      <c r="B5" s="108"/>
      <c r="C5" s="29">
        <f>'3_KMeans++_Init'!B12</f>
        <v>3.9116428900129632E-2</v>
      </c>
      <c r="D5" s="29">
        <f>'3_KMeans++_Init'!C12</f>
        <v>1.3425549227015063E-2</v>
      </c>
      <c r="E5" s="29">
        <f>'3_KMeans++_Init'!D12</f>
        <v>1</v>
      </c>
      <c r="F5" s="29">
        <f>'3_KMeans++_Init'!E12</f>
        <v>1</v>
      </c>
      <c r="G5" s="29">
        <f>'3_KMeans++_Init'!F12</f>
        <v>1</v>
      </c>
      <c r="H5" s="29">
        <f>'3_KMeans++_Init'!G12</f>
        <v>1</v>
      </c>
      <c r="I5" s="29">
        <f>'3_KMeans++_Init'!H12</f>
        <v>0.66666666666666663</v>
      </c>
      <c r="J5" s="29">
        <f>'3_KMeans++_Init'!I12</f>
        <v>1</v>
      </c>
      <c r="K5" s="29">
        <f>'3_KMeans++_Init'!J12</f>
        <v>1</v>
      </c>
      <c r="L5" s="29">
        <f>'3_KMeans++_Init'!K12</f>
        <v>0.2189189189189189</v>
      </c>
    </row>
    <row r="6" spans="1:18" ht="32.25" customHeight="1" x14ac:dyDescent="0.25">
      <c r="A6" s="108" t="s">
        <v>132</v>
      </c>
      <c r="B6" s="108"/>
      <c r="C6" s="29">
        <f>'3_KMeans++_Init'!B37</f>
        <v>0.88541187298670598</v>
      </c>
      <c r="D6" s="29">
        <f>'3_KMeans++_Init'!C37</f>
        <v>1</v>
      </c>
      <c r="E6" s="29">
        <f>'3_KMeans++_Init'!D37</f>
        <v>3.2733224222585926E-3</v>
      </c>
      <c r="F6" s="29">
        <f>'3_KMeans++_Init'!E37</f>
        <v>0.41666666666666663</v>
      </c>
      <c r="G6" s="29">
        <f>'3_KMeans++_Init'!F37</f>
        <v>0</v>
      </c>
      <c r="H6" s="29">
        <f>'3_KMeans++_Init'!G37</f>
        <v>0</v>
      </c>
      <c r="I6" s="29">
        <f>'3_KMeans++_Init'!H37</f>
        <v>1</v>
      </c>
      <c r="J6" s="29">
        <f>'3_KMeans++_Init'!I37</f>
        <v>0</v>
      </c>
      <c r="K6" s="29">
        <f>'3_KMeans++_Init'!J37</f>
        <v>1.9136139967195188E-3</v>
      </c>
      <c r="L6" s="29">
        <f>'3_KMeans++_Init'!K37</f>
        <v>0.42162162162162165</v>
      </c>
    </row>
    <row r="7" spans="1:18" ht="32.25" customHeight="1" x14ac:dyDescent="0.25">
      <c r="A7" s="108" t="s">
        <v>133</v>
      </c>
      <c r="B7" s="108"/>
      <c r="C7" s="29">
        <f>'3_KMeans++_Init'!B59</f>
        <v>4.0036815462516397E-2</v>
      </c>
      <c r="D7" s="29">
        <f>'3_KMeans++_Init'!C59</f>
        <v>1.2205044751831219E-2</v>
      </c>
      <c r="E7" s="29">
        <f>'3_KMeans++_Init'!D59</f>
        <v>4.8281505728314238E-2</v>
      </c>
      <c r="F7" s="29">
        <f>'3_KMeans++_Init'!E59</f>
        <v>0.24999999999999981</v>
      </c>
      <c r="G7" s="29">
        <f>'3_KMeans++_Init'!F59</f>
        <v>1</v>
      </c>
      <c r="H7" s="29">
        <f>'3_KMeans++_Init'!G59</f>
        <v>0.66666666666666663</v>
      </c>
      <c r="I7" s="29">
        <f>'3_KMeans++_Init'!H59</f>
        <v>0</v>
      </c>
      <c r="J7" s="29">
        <f>'3_KMeans++_Init'!I59</f>
        <v>1</v>
      </c>
      <c r="K7" s="29">
        <f>'3_KMeans++_Init'!J59</f>
        <v>2.4056861673045379E-2</v>
      </c>
      <c r="L7" s="29">
        <f>'3_KMeans++_Init'!K59</f>
        <v>5.135135135135134E-2</v>
      </c>
    </row>
    <row r="9" spans="1:18" ht="15" customHeight="1" x14ac:dyDescent="0.25">
      <c r="A9" s="8" t="s">
        <v>134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ht="27.75" customHeight="1" x14ac:dyDescent="0.25">
      <c r="A10" s="16" t="s">
        <v>34</v>
      </c>
      <c r="B10" s="16" t="s">
        <v>114</v>
      </c>
      <c r="C10" s="16" t="s">
        <v>102</v>
      </c>
      <c r="D10" s="16" t="s">
        <v>103</v>
      </c>
      <c r="E10" s="16" t="s">
        <v>104</v>
      </c>
      <c r="F10" s="16" t="s">
        <v>105</v>
      </c>
      <c r="G10" s="16" t="s">
        <v>106</v>
      </c>
      <c r="H10" s="16" t="s">
        <v>107</v>
      </c>
      <c r="I10" s="16" t="s">
        <v>108</v>
      </c>
      <c r="J10" s="16" t="s">
        <v>109</v>
      </c>
      <c r="K10" s="16" t="s">
        <v>110</v>
      </c>
      <c r="L10" s="16" t="s">
        <v>111</v>
      </c>
      <c r="M10" s="16" t="s">
        <v>135</v>
      </c>
      <c r="N10" s="16" t="s">
        <v>136</v>
      </c>
      <c r="O10" s="16" t="s">
        <v>137</v>
      </c>
      <c r="P10" s="16" t="s">
        <v>138</v>
      </c>
      <c r="Q10" s="16" t="s">
        <v>139</v>
      </c>
    </row>
    <row r="11" spans="1:18" ht="15" customHeight="1" x14ac:dyDescent="0.25">
      <c r="A11" s="28">
        <f>'2_Normalisasi'!A8</f>
        <v>1</v>
      </c>
      <c r="B11" s="18" t="str">
        <f>'2_Normalisasi'!B8</f>
        <v>Candi Borobudur</v>
      </c>
      <c r="C11" s="30">
        <f>'2_Normalisasi'!C8</f>
        <v>3.9116428900129632E-2</v>
      </c>
      <c r="D11" s="30">
        <f>'2_Normalisasi'!D8</f>
        <v>1.3425549227015063E-2</v>
      </c>
      <c r="E11" s="30">
        <f>'2_Normalisasi'!E8</f>
        <v>1</v>
      </c>
      <c r="F11" s="30">
        <f>'2_Normalisasi'!F8</f>
        <v>1</v>
      </c>
      <c r="G11" s="30">
        <f>'2_Normalisasi'!G8</f>
        <v>1</v>
      </c>
      <c r="H11" s="30">
        <f>'2_Normalisasi'!H8</f>
        <v>1</v>
      </c>
      <c r="I11" s="30">
        <f>'2_Normalisasi'!I8</f>
        <v>0.66666666666666663</v>
      </c>
      <c r="J11" s="30">
        <f>'2_Normalisasi'!J8</f>
        <v>1</v>
      </c>
      <c r="K11" s="30">
        <f>'2_Normalisasi'!K8</f>
        <v>1</v>
      </c>
      <c r="L11" s="30">
        <f>'2_Normalisasi'!L8</f>
        <v>0.2189189189189189</v>
      </c>
      <c r="M11" s="31">
        <f t="shared" ref="M11:M25" si="0">SQRT((C11-C$5)^2+(D11-D$5)^2+(E11-E$5)^2+(F11-F$5)^2+(G11-G$5)^2+(H11-H$5)^2+(I11-I$5)^2+(J11-J$5)^2+(K11-K$5)^2+(L11-L$5)^2)</f>
        <v>0</v>
      </c>
      <c r="N11" s="31">
        <f t="shared" ref="N11:N25" si="1">SQRT((C11-C$6)^2+(D11-D$6)^2+(E11-E$6)^2+(F11-F$6)^2+(G11-G$6)^2+(H11-H$6)^2+(I11-I$6)^2+(J11-J$6)^2+(K11-K$6)^2+(L11-L$6)^2)</f>
        <v>2.6779960612166391</v>
      </c>
      <c r="O11" s="31">
        <f t="shared" ref="O11:O25" si="2">SQRT((C11-C$7)^2+(D11-D$7)^2+(E11-E$7)^2+(F11-F$7)^2+(G11-G$7)^2+(H11-H$7)^2+(I11-I$7)^2+(J11-J$7)^2+(K11-K$7)^2+(L11-L$7)^2)</f>
        <v>1.7333118252596373</v>
      </c>
      <c r="P11" s="36">
        <f t="shared" ref="P11:P25" si="3">MATCH(MIN(M11:O11),M11:O11,0)</f>
        <v>1</v>
      </c>
      <c r="Q11" s="37" t="str">
        <f t="shared" ref="Q11:Q25" si="4">IF(P11=1,"Klaster 1 (Unggulan)",IF(P11=2,"Klaster 2 (Berkembang)","Klaster 3 (Potensial)"))</f>
        <v>Klaster 1 (Unggulan)</v>
      </c>
    </row>
    <row r="12" spans="1:18" ht="15" customHeight="1" x14ac:dyDescent="0.25">
      <c r="A12" s="28">
        <f>'2_Normalisasi'!A9</f>
        <v>2</v>
      </c>
      <c r="B12" s="18" t="str">
        <f>'2_Normalisasi'!B9</f>
        <v>Punthuk Setumbu</v>
      </c>
      <c r="C12" s="30">
        <f>'2_Normalisasi'!C9</f>
        <v>0</v>
      </c>
      <c r="D12" s="30">
        <f>'2_Normalisasi'!D9</f>
        <v>3.5394629780309814E-2</v>
      </c>
      <c r="E12" s="30">
        <f>'2_Normalisasi'!E9</f>
        <v>0.12847790507364976</v>
      </c>
      <c r="F12" s="30">
        <f>'2_Normalisasi'!F9</f>
        <v>0.83333333333333326</v>
      </c>
      <c r="G12" s="30">
        <f>'2_Normalisasi'!G9</f>
        <v>0.33333333333333331</v>
      </c>
      <c r="H12" s="30">
        <f>'2_Normalisasi'!H9</f>
        <v>0.33333333333333331</v>
      </c>
      <c r="I12" s="30">
        <f>'2_Normalisasi'!I9</f>
        <v>1</v>
      </c>
      <c r="J12" s="30">
        <f>'2_Normalisasi'!J9</f>
        <v>0.66666666666666663</v>
      </c>
      <c r="K12" s="30">
        <f>'2_Normalisasi'!K9</f>
        <v>0.14160743575724438</v>
      </c>
      <c r="L12" s="30">
        <f>'2_Normalisasi'!L9</f>
        <v>0.38648648648648648</v>
      </c>
      <c r="M12" s="31">
        <f t="shared" si="0"/>
        <v>1.6325958074158233</v>
      </c>
      <c r="N12" s="31">
        <f t="shared" si="1"/>
        <v>1.6096957824185927</v>
      </c>
      <c r="O12" s="31">
        <f t="shared" si="2"/>
        <v>1.4634378383204882</v>
      </c>
      <c r="P12" s="36">
        <f t="shared" si="3"/>
        <v>3</v>
      </c>
      <c r="Q12" s="37" t="str">
        <f t="shared" si="4"/>
        <v>Klaster 3 (Potensial)</v>
      </c>
    </row>
    <row r="13" spans="1:18" ht="15" customHeight="1" x14ac:dyDescent="0.25">
      <c r="A13" s="28">
        <f>'2_Normalisasi'!A10</f>
        <v>3</v>
      </c>
      <c r="B13" s="18" t="str">
        <f>'2_Normalisasi'!B10</f>
        <v>Candi Pawon</v>
      </c>
      <c r="C13" s="30">
        <f>'2_Normalisasi'!C10</f>
        <v>7.0409572020233333E-2</v>
      </c>
      <c r="D13" s="30">
        <f>'2_Normalisasi'!D10</f>
        <v>0</v>
      </c>
      <c r="E13" s="30">
        <f>'2_Normalisasi'!E10</f>
        <v>5.4828150572831427E-2</v>
      </c>
      <c r="F13" s="30">
        <f>'2_Normalisasi'!F10</f>
        <v>0.41666666666666663</v>
      </c>
      <c r="G13" s="30">
        <f>'2_Normalisasi'!G10</f>
        <v>0.66666666666666663</v>
      </c>
      <c r="H13" s="30">
        <f>'2_Normalisasi'!H10</f>
        <v>0.33333333333333331</v>
      </c>
      <c r="I13" s="30">
        <f>'2_Normalisasi'!I10</f>
        <v>0.33333333333333331</v>
      </c>
      <c r="J13" s="30">
        <f>'2_Normalisasi'!J10</f>
        <v>1</v>
      </c>
      <c r="K13" s="30">
        <f>'2_Normalisasi'!K10</f>
        <v>3.4991798797156914E-2</v>
      </c>
      <c r="L13" s="30">
        <f>'2_Normalisasi'!L10</f>
        <v>0.10810810810810811</v>
      </c>
      <c r="M13" s="31">
        <f t="shared" si="0"/>
        <v>1.6867049652365698</v>
      </c>
      <c r="N13" s="31">
        <f t="shared" si="1"/>
        <v>1.9406884191831413</v>
      </c>
      <c r="O13" s="31">
        <f t="shared" si="2"/>
        <v>0.60462082284320473</v>
      </c>
      <c r="P13" s="36">
        <f t="shared" si="3"/>
        <v>3</v>
      </c>
      <c r="Q13" s="37" t="str">
        <f t="shared" si="4"/>
        <v>Klaster 3 (Potensial)</v>
      </c>
    </row>
    <row r="14" spans="1:18" ht="15" customHeight="1" x14ac:dyDescent="0.25">
      <c r="A14" s="28">
        <f>'2_Normalisasi'!A11</f>
        <v>4</v>
      </c>
      <c r="B14" s="18" t="str">
        <f>'2_Normalisasi'!B11</f>
        <v>Candi Mendut</v>
      </c>
      <c r="C14" s="30">
        <f>'2_Normalisasi'!C11</f>
        <v>0.15002300966407275</v>
      </c>
      <c r="D14" s="30">
        <f>'2_Normalisasi'!D11</f>
        <v>4.719283970708095E-2</v>
      </c>
      <c r="E14" s="30">
        <f>'2_Normalisasi'!E11</f>
        <v>7.9378068739770866E-2</v>
      </c>
      <c r="F14" s="30">
        <f>'2_Normalisasi'!F11</f>
        <v>0.49999999999999961</v>
      </c>
      <c r="G14" s="30">
        <f>'2_Normalisasi'!G11</f>
        <v>0.66666666666666663</v>
      </c>
      <c r="H14" s="30">
        <f>'2_Normalisasi'!H11</f>
        <v>0.66666666666666663</v>
      </c>
      <c r="I14" s="30">
        <f>'2_Normalisasi'!I11</f>
        <v>0.33333333333333331</v>
      </c>
      <c r="J14" s="30">
        <f>'2_Normalisasi'!J11</f>
        <v>1</v>
      </c>
      <c r="K14" s="30">
        <f>'2_Normalisasi'!K11</f>
        <v>5.4127938764352103E-2</v>
      </c>
      <c r="L14" s="30">
        <f>'2_Normalisasi'!L11</f>
        <v>0.14324324324324325</v>
      </c>
      <c r="M14" s="31">
        <f t="shared" si="0"/>
        <v>1.5312476407586415</v>
      </c>
      <c r="N14" s="31">
        <f t="shared" si="1"/>
        <v>1.968483891845132</v>
      </c>
      <c r="O14" s="31">
        <f t="shared" si="2"/>
        <v>0.55530056423258134</v>
      </c>
      <c r="P14" s="36">
        <f t="shared" si="3"/>
        <v>3</v>
      </c>
      <c r="Q14" s="37" t="str">
        <f t="shared" si="4"/>
        <v>Klaster 3 (Potensial)</v>
      </c>
    </row>
    <row r="15" spans="1:18" ht="15" customHeight="1" x14ac:dyDescent="0.25">
      <c r="A15" s="28">
        <f>'2_Normalisasi'!A12</f>
        <v>5</v>
      </c>
      <c r="B15" s="18" t="str">
        <f>'2_Normalisasi'!B12</f>
        <v>Ketep Pass</v>
      </c>
      <c r="C15" s="30">
        <f>'2_Normalisasi'!C12</f>
        <v>0.28163828808099872</v>
      </c>
      <c r="D15" s="30">
        <f>'2_Normalisasi'!D12</f>
        <v>0.10781122864117336</v>
      </c>
      <c r="E15" s="30">
        <f>'2_Normalisasi'!E12</f>
        <v>0.14893617021276595</v>
      </c>
      <c r="F15" s="30">
        <f>'2_Normalisasi'!F12</f>
        <v>0.66666666666666641</v>
      </c>
      <c r="G15" s="30">
        <f>'2_Normalisasi'!G12</f>
        <v>0.33333333333333331</v>
      </c>
      <c r="H15" s="30">
        <f>'2_Normalisasi'!H12</f>
        <v>0.66666666666666663</v>
      </c>
      <c r="I15" s="30">
        <f>'2_Normalisasi'!I12</f>
        <v>1</v>
      </c>
      <c r="J15" s="30">
        <f>'2_Normalisasi'!J12</f>
        <v>0.33333333333333331</v>
      </c>
      <c r="K15" s="30">
        <f>'2_Normalisasi'!K12</f>
        <v>0.15800984144341171</v>
      </c>
      <c r="L15" s="30">
        <f>'2_Normalisasi'!L12</f>
        <v>0.3108108108108108</v>
      </c>
      <c r="M15" s="31">
        <f t="shared" si="0"/>
        <v>1.6527700748001746</v>
      </c>
      <c r="N15" s="31">
        <f t="shared" si="1"/>
        <v>1.3955546372239991</v>
      </c>
      <c r="O15" s="31">
        <f t="shared" si="2"/>
        <v>1.4917794030432701</v>
      </c>
      <c r="P15" s="36">
        <f t="shared" si="3"/>
        <v>2</v>
      </c>
      <c r="Q15" s="37" t="str">
        <f t="shared" si="4"/>
        <v>Klaster 2 (Berkembang)</v>
      </c>
    </row>
    <row r="16" spans="1:18" ht="15" customHeight="1" x14ac:dyDescent="0.25">
      <c r="A16" s="28">
        <f>'2_Normalisasi'!A13</f>
        <v>6</v>
      </c>
      <c r="B16" s="18" t="str">
        <f>'2_Normalisasi'!B13</f>
        <v>Kopeng</v>
      </c>
      <c r="C16" s="30">
        <f>'2_Normalisasi'!C13</f>
        <v>0.94799815922691344</v>
      </c>
      <c r="D16" s="30">
        <f>'2_Normalisasi'!D13</f>
        <v>0.86533767290480013</v>
      </c>
      <c r="E16" s="30">
        <f>'2_Normalisasi'!E13</f>
        <v>5.7283142389525366E-2</v>
      </c>
      <c r="F16" s="30">
        <f>'2_Normalisasi'!F13</f>
        <v>8.3333333333333023E-2</v>
      </c>
      <c r="G16" s="30">
        <f>'2_Normalisasi'!G13</f>
        <v>0.33333333333333331</v>
      </c>
      <c r="H16" s="30">
        <f>'2_Normalisasi'!H13</f>
        <v>0.33333333333333331</v>
      </c>
      <c r="I16" s="30">
        <f>'2_Normalisasi'!I13</f>
        <v>0.66666666666666663</v>
      </c>
      <c r="J16" s="30">
        <f>'2_Normalisasi'!J13</f>
        <v>0</v>
      </c>
      <c r="K16" s="30">
        <f>'2_Normalisasi'!K13</f>
        <v>3.116457080371788E-2</v>
      </c>
      <c r="L16" s="30">
        <f>'2_Normalisasi'!L13</f>
        <v>2.9729729729729718E-2</v>
      </c>
      <c r="M16" s="31">
        <f t="shared" si="0"/>
        <v>2.4787369050894945</v>
      </c>
      <c r="N16" s="31">
        <f t="shared" si="1"/>
        <v>0.78984008765452529</v>
      </c>
      <c r="O16" s="31">
        <f t="shared" si="2"/>
        <v>1.8922489012496835</v>
      </c>
      <c r="P16" s="36">
        <f t="shared" si="3"/>
        <v>2</v>
      </c>
      <c r="Q16" s="37" t="str">
        <f t="shared" si="4"/>
        <v>Klaster 2 (Berkembang)</v>
      </c>
    </row>
    <row r="17" spans="1:18" ht="15" customHeight="1" x14ac:dyDescent="0.25">
      <c r="A17" s="28">
        <f>'2_Normalisasi'!A14</f>
        <v>7</v>
      </c>
      <c r="B17" s="18" t="str">
        <f>'2_Normalisasi'!B14</f>
        <v>Air Terjun Kedung Kayang</v>
      </c>
      <c r="C17" s="30">
        <f>'2_Normalisasi'!C14</f>
        <v>0.33916244822827513</v>
      </c>
      <c r="D17" s="30">
        <f>'2_Normalisasi'!D14</f>
        <v>0.16273393002441022</v>
      </c>
      <c r="E17" s="30">
        <f>'2_Normalisasi'!E14</f>
        <v>1.1456628477905073E-2</v>
      </c>
      <c r="F17" s="30">
        <f>'2_Normalisasi'!F14</f>
        <v>0.58333333333333337</v>
      </c>
      <c r="G17" s="30">
        <f>'2_Normalisasi'!G14</f>
        <v>0</v>
      </c>
      <c r="H17" s="30">
        <f>'2_Normalisasi'!H14</f>
        <v>0</v>
      </c>
      <c r="I17" s="30">
        <f>'2_Normalisasi'!I14</f>
        <v>1</v>
      </c>
      <c r="J17" s="30">
        <f>'2_Normalisasi'!J14</f>
        <v>0</v>
      </c>
      <c r="K17" s="30">
        <f>'2_Normalisasi'!K14</f>
        <v>6.0142154182613447E-3</v>
      </c>
      <c r="L17" s="30">
        <f>'2_Normalisasi'!L14</f>
        <v>0.48378378378378378</v>
      </c>
      <c r="M17" s="31">
        <f t="shared" si="0"/>
        <v>2.3307556634027424</v>
      </c>
      <c r="N17" s="31">
        <f t="shared" si="1"/>
        <v>1.0154450253921961</v>
      </c>
      <c r="O17" s="31">
        <f t="shared" si="2"/>
        <v>1.9637642583371075</v>
      </c>
      <c r="P17" s="36">
        <f t="shared" si="3"/>
        <v>2</v>
      </c>
      <c r="Q17" s="37" t="str">
        <f t="shared" si="4"/>
        <v>Klaster 2 (Berkembang)</v>
      </c>
    </row>
    <row r="18" spans="1:18" ht="15" customHeight="1" x14ac:dyDescent="0.25">
      <c r="A18" s="28">
        <f>'2_Normalisasi'!A15</f>
        <v>8</v>
      </c>
      <c r="B18" s="18" t="str">
        <f>'2_Normalisasi'!B15</f>
        <v>Telaga Bleder</v>
      </c>
      <c r="C18" s="30">
        <f>'2_Normalisasi'!C15</f>
        <v>0.58122411412795083</v>
      </c>
      <c r="D18" s="30">
        <f>'2_Normalisasi'!D15</f>
        <v>0.52441008950366064</v>
      </c>
      <c r="E18" s="30">
        <f>'2_Normalisasi'!E15</f>
        <v>5.7283142389525366E-3</v>
      </c>
      <c r="F18" s="30">
        <f>'2_Normalisasi'!F15</f>
        <v>0.16666666666666641</v>
      </c>
      <c r="G18" s="30">
        <f>'2_Normalisasi'!G15</f>
        <v>0</v>
      </c>
      <c r="H18" s="30">
        <f>'2_Normalisasi'!H15</f>
        <v>0</v>
      </c>
      <c r="I18" s="30">
        <f>'2_Normalisasi'!I15</f>
        <v>0.66666666666666663</v>
      </c>
      <c r="J18" s="30">
        <f>'2_Normalisasi'!J15</f>
        <v>0</v>
      </c>
      <c r="K18" s="30">
        <f>'2_Normalisasi'!K15</f>
        <v>3.8272279934390375E-3</v>
      </c>
      <c r="L18" s="30">
        <f>'2_Normalisasi'!L15</f>
        <v>0.20540540540540536</v>
      </c>
      <c r="M18" s="31">
        <f t="shared" si="0"/>
        <v>2.4961068444820378</v>
      </c>
      <c r="N18" s="31">
        <f t="shared" si="1"/>
        <v>0.73422490272037599</v>
      </c>
      <c r="O18" s="31">
        <f t="shared" si="2"/>
        <v>1.8646779070913502</v>
      </c>
      <c r="P18" s="36">
        <f t="shared" si="3"/>
        <v>2</v>
      </c>
      <c r="Q18" s="37" t="str">
        <f t="shared" si="4"/>
        <v>Klaster 2 (Berkembang)</v>
      </c>
    </row>
    <row r="19" spans="1:18" ht="15" customHeight="1" x14ac:dyDescent="0.25">
      <c r="A19" s="28">
        <f>'2_Normalisasi'!A16</f>
        <v>9</v>
      </c>
      <c r="B19" s="18" t="str">
        <f>'2_Normalisasi'!B16</f>
        <v>Bukit Rhema (Gereja Ayam)</v>
      </c>
      <c r="C19" s="30">
        <f>'2_Normalisasi'!C16</f>
        <v>3.1753336401297086E-2</v>
      </c>
      <c r="D19" s="30">
        <f>'2_Normalisasi'!D16</f>
        <v>3.010577705451797E-2</v>
      </c>
      <c r="E19" s="30">
        <f>'2_Normalisasi'!E16</f>
        <v>0.11211129296235679</v>
      </c>
      <c r="F19" s="30">
        <f>'2_Normalisasi'!F16</f>
        <v>0.74999999999999944</v>
      </c>
      <c r="G19" s="30">
        <f>'2_Normalisasi'!G16</f>
        <v>0.33333333333333331</v>
      </c>
      <c r="H19" s="30">
        <f>'2_Normalisasi'!H16</f>
        <v>0.33333333333333331</v>
      </c>
      <c r="I19" s="30">
        <f>'2_Normalisasi'!I16</f>
        <v>0.66666666666666663</v>
      </c>
      <c r="J19" s="30">
        <f>'2_Normalisasi'!J16</f>
        <v>0.66666666666666663</v>
      </c>
      <c r="K19" s="30">
        <f>'2_Normalisasi'!K16</f>
        <v>0.10333515582285402</v>
      </c>
      <c r="L19" s="30">
        <f>'2_Normalisasi'!L16</f>
        <v>0.83783783783783783</v>
      </c>
      <c r="M19" s="31">
        <f t="shared" si="0"/>
        <v>1.743056875777578</v>
      </c>
      <c r="N19" s="31">
        <f t="shared" si="1"/>
        <v>1.6594229603377413</v>
      </c>
      <c r="O19" s="31">
        <f t="shared" si="2"/>
        <v>1.4108226133858737</v>
      </c>
      <c r="P19" s="36">
        <f t="shared" si="3"/>
        <v>3</v>
      </c>
      <c r="Q19" s="37" t="str">
        <f t="shared" si="4"/>
        <v>Klaster 3 (Potensial)</v>
      </c>
    </row>
    <row r="20" spans="1:18" ht="15" customHeight="1" x14ac:dyDescent="0.25">
      <c r="A20" s="28">
        <f>'2_Normalisasi'!A17</f>
        <v>10</v>
      </c>
      <c r="B20" s="18" t="str">
        <f>'2_Normalisasi'!B17</f>
        <v>Sawah Sukomakmur</v>
      </c>
      <c r="C20" s="30">
        <f>'2_Normalisasi'!C17</f>
        <v>0.17579383341005206</v>
      </c>
      <c r="D20" s="30">
        <f>'2_Normalisasi'!D17</f>
        <v>0.16842961757526576</v>
      </c>
      <c r="E20" s="30">
        <f>'2_Normalisasi'!E17</f>
        <v>0</v>
      </c>
      <c r="F20" s="30">
        <f>'2_Normalisasi'!F17</f>
        <v>0.33333333333333282</v>
      </c>
      <c r="G20" s="30">
        <f>'2_Normalisasi'!G17</f>
        <v>0</v>
      </c>
      <c r="H20" s="30">
        <f>'2_Normalisasi'!H17</f>
        <v>0</v>
      </c>
      <c r="I20" s="30">
        <f>'2_Normalisasi'!I17</f>
        <v>1</v>
      </c>
      <c r="J20" s="30">
        <f>'2_Normalisasi'!J17</f>
        <v>0.33333333333333331</v>
      </c>
      <c r="K20" s="30">
        <f>'2_Normalisasi'!K17</f>
        <v>0</v>
      </c>
      <c r="L20" s="30">
        <f>'2_Normalisasi'!L17</f>
        <v>0.65405405405405392</v>
      </c>
      <c r="M20" s="31">
        <f t="shared" si="0"/>
        <v>2.287367386306177</v>
      </c>
      <c r="N20" s="31">
        <f t="shared" si="1"/>
        <v>1.1692569566946582</v>
      </c>
      <c r="O20" s="31">
        <f t="shared" si="2"/>
        <v>1.8179190858350371</v>
      </c>
      <c r="P20" s="36">
        <f t="shared" si="3"/>
        <v>2</v>
      </c>
      <c r="Q20" s="37" t="str">
        <f t="shared" si="4"/>
        <v>Klaster 2 (Berkembang)</v>
      </c>
    </row>
    <row r="21" spans="1:18" ht="15" customHeight="1" x14ac:dyDescent="0.25">
      <c r="A21" s="28">
        <f>'2_Normalisasi'!A18</f>
        <v>11</v>
      </c>
      <c r="B21" s="18" t="str">
        <f>'2_Normalisasi'!B18</f>
        <v>Museum Karmawibhangga</v>
      </c>
      <c r="C21" s="30">
        <f>'2_Normalisasi'!C18</f>
        <v>4.0036815462516397E-2</v>
      </c>
      <c r="D21" s="30">
        <f>'2_Normalisasi'!D18</f>
        <v>1.2205044751831219E-2</v>
      </c>
      <c r="E21" s="30">
        <f>'2_Normalisasi'!E18</f>
        <v>4.8281505728314238E-2</v>
      </c>
      <c r="F21" s="30">
        <f>'2_Normalisasi'!F18</f>
        <v>0.24999999999999981</v>
      </c>
      <c r="G21" s="30">
        <f>'2_Normalisasi'!G18</f>
        <v>1</v>
      </c>
      <c r="H21" s="30">
        <f>'2_Normalisasi'!H18</f>
        <v>0.66666666666666663</v>
      </c>
      <c r="I21" s="30">
        <f>'2_Normalisasi'!I18</f>
        <v>0</v>
      </c>
      <c r="J21" s="30">
        <f>'2_Normalisasi'!J18</f>
        <v>1</v>
      </c>
      <c r="K21" s="30">
        <f>'2_Normalisasi'!K18</f>
        <v>2.4056861673045379E-2</v>
      </c>
      <c r="L21" s="30">
        <f>'2_Normalisasi'!L18</f>
        <v>5.135135135135134E-2</v>
      </c>
      <c r="M21" s="31">
        <f t="shared" si="0"/>
        <v>1.7333118252596373</v>
      </c>
      <c r="N21" s="31">
        <f t="shared" si="1"/>
        <v>2.3026585106672175</v>
      </c>
      <c r="O21" s="31">
        <f t="shared" si="2"/>
        <v>0</v>
      </c>
      <c r="P21" s="36">
        <f t="shared" si="3"/>
        <v>3</v>
      </c>
      <c r="Q21" s="37" t="str">
        <f t="shared" si="4"/>
        <v>Klaster 3 (Potensial)</v>
      </c>
    </row>
    <row r="22" spans="1:18" ht="15" customHeight="1" x14ac:dyDescent="0.25">
      <c r="A22" s="28">
        <f>'2_Normalisasi'!A19</f>
        <v>12</v>
      </c>
      <c r="B22" s="18" t="str">
        <f>'2_Normalisasi'!B19</f>
        <v>Taman Kyai Langgeng</v>
      </c>
      <c r="C22" s="30">
        <f>'2_Normalisasi'!C19</f>
        <v>0.10308329498391719</v>
      </c>
      <c r="D22" s="30">
        <f>'2_Normalisasi'!D19</f>
        <v>0.56590724165988604</v>
      </c>
      <c r="E22" s="30">
        <f>'2_Normalisasi'!E19</f>
        <v>9.5744680851063829E-2</v>
      </c>
      <c r="F22" s="30">
        <f>'2_Normalisasi'!F19</f>
        <v>0</v>
      </c>
      <c r="G22" s="30">
        <f>'2_Normalisasi'!G19</f>
        <v>0.66666666666666663</v>
      </c>
      <c r="H22" s="30">
        <f>'2_Normalisasi'!H19</f>
        <v>0.66666666666666663</v>
      </c>
      <c r="I22" s="30">
        <f>'2_Normalisasi'!I19</f>
        <v>0.33333333333333331</v>
      </c>
      <c r="J22" s="30">
        <f>'2_Normalisasi'!J19</f>
        <v>0.33333333333333331</v>
      </c>
      <c r="K22" s="30">
        <f>'2_Normalisasi'!K19</f>
        <v>8.9666484417714604E-2</v>
      </c>
      <c r="L22" s="30">
        <f>'2_Normalisasi'!L19</f>
        <v>0</v>
      </c>
      <c r="M22" s="31">
        <f t="shared" si="0"/>
        <v>1.9445862909806868</v>
      </c>
      <c r="N22" s="31">
        <f t="shared" si="1"/>
        <v>1.6163373387304978</v>
      </c>
      <c r="O22" s="31">
        <f t="shared" si="2"/>
        <v>1.0241689240464953</v>
      </c>
      <c r="P22" s="36">
        <f t="shared" si="3"/>
        <v>3</v>
      </c>
      <c r="Q22" s="37" t="str">
        <f t="shared" si="4"/>
        <v>Klaster 3 (Potensial)</v>
      </c>
    </row>
    <row r="23" spans="1:18" ht="15" customHeight="1" x14ac:dyDescent="0.25">
      <c r="A23" s="28">
        <f>'2_Normalisasi'!A20</f>
        <v>13</v>
      </c>
      <c r="B23" s="18" t="str">
        <f>'2_Normalisasi'!B20</f>
        <v>Gunung Andong</v>
      </c>
      <c r="C23" s="30">
        <f>'2_Normalisasi'!C20</f>
        <v>1</v>
      </c>
      <c r="D23" s="30">
        <f>'2_Normalisasi'!D20</f>
        <v>0.71440195280716101</v>
      </c>
      <c r="E23" s="30">
        <f>'2_Normalisasi'!E20</f>
        <v>2.20949263502455E-2</v>
      </c>
      <c r="F23" s="30">
        <f>'2_Normalisasi'!F20</f>
        <v>0.66666666666666641</v>
      </c>
      <c r="G23" s="30">
        <f>'2_Normalisasi'!G20</f>
        <v>0</v>
      </c>
      <c r="H23" s="30">
        <f>'2_Normalisasi'!H20</f>
        <v>0</v>
      </c>
      <c r="I23" s="30">
        <f>'2_Normalisasi'!I20</f>
        <v>1</v>
      </c>
      <c r="J23" s="30">
        <f>'2_Normalisasi'!J20</f>
        <v>0</v>
      </c>
      <c r="K23" s="30">
        <f>'2_Normalisasi'!K20</f>
        <v>1.1481683980317113E-2</v>
      </c>
      <c r="L23" s="30">
        <f>'2_Normalisasi'!L20</f>
        <v>0.74054054054054064</v>
      </c>
      <c r="M23" s="31">
        <f t="shared" si="0"/>
        <v>2.6158064317008449</v>
      </c>
      <c r="N23" s="31">
        <f t="shared" si="1"/>
        <v>0.50926590401756022</v>
      </c>
      <c r="O23" s="31">
        <f t="shared" si="2"/>
        <v>2.3470174646632151</v>
      </c>
      <c r="P23" s="36">
        <f t="shared" si="3"/>
        <v>2</v>
      </c>
      <c r="Q23" s="37" t="str">
        <f t="shared" si="4"/>
        <v>Klaster 2 (Berkembang)</v>
      </c>
    </row>
    <row r="24" spans="1:18" ht="15" customHeight="1" x14ac:dyDescent="0.25">
      <c r="A24" s="28">
        <f>'2_Normalisasi'!A21</f>
        <v>14</v>
      </c>
      <c r="B24" s="18" t="str">
        <f>'2_Normalisasi'!B21</f>
        <v>Umbul Songo</v>
      </c>
      <c r="C24" s="30">
        <f>'2_Normalisasi'!C21</f>
        <v>0.88541187298670598</v>
      </c>
      <c r="D24" s="30">
        <f>'2_Normalisasi'!D21</f>
        <v>1</v>
      </c>
      <c r="E24" s="30">
        <f>'2_Normalisasi'!E21</f>
        <v>3.2733224222585926E-3</v>
      </c>
      <c r="F24" s="30">
        <f>'2_Normalisasi'!F21</f>
        <v>0.41666666666666663</v>
      </c>
      <c r="G24" s="30">
        <f>'2_Normalisasi'!G21</f>
        <v>0</v>
      </c>
      <c r="H24" s="30">
        <f>'2_Normalisasi'!H21</f>
        <v>0</v>
      </c>
      <c r="I24" s="30">
        <f>'2_Normalisasi'!I21</f>
        <v>1</v>
      </c>
      <c r="J24" s="30">
        <f>'2_Normalisasi'!J21</f>
        <v>0</v>
      </c>
      <c r="K24" s="30">
        <f>'2_Normalisasi'!K21</f>
        <v>1.9136139967195188E-3</v>
      </c>
      <c r="L24" s="30">
        <f>'2_Normalisasi'!L21</f>
        <v>0.42162162162162165</v>
      </c>
      <c r="M24" s="31">
        <f t="shared" si="0"/>
        <v>2.6779960612166391</v>
      </c>
      <c r="N24" s="31">
        <f t="shared" si="1"/>
        <v>0</v>
      </c>
      <c r="O24" s="31">
        <f t="shared" si="2"/>
        <v>2.3026585106672175</v>
      </c>
      <c r="P24" s="36">
        <f t="shared" si="3"/>
        <v>2</v>
      </c>
      <c r="Q24" s="37" t="str">
        <f t="shared" si="4"/>
        <v>Klaster 2 (Berkembang)</v>
      </c>
    </row>
    <row r="25" spans="1:18" ht="15" customHeight="1" x14ac:dyDescent="0.25">
      <c r="A25" s="28">
        <f>'2_Normalisasi'!A22</f>
        <v>15</v>
      </c>
      <c r="B25" s="18" t="str">
        <f>'2_Normalisasi'!B22</f>
        <v>Puthuk Mongkrong</v>
      </c>
      <c r="C25" s="30">
        <f>'2_Normalisasi'!C22</f>
        <v>2.116889093417626E-2</v>
      </c>
      <c r="D25" s="30">
        <f>'2_Normalisasi'!D22</f>
        <v>5.0854353132628871E-2</v>
      </c>
      <c r="E25" s="30">
        <f>'2_Normalisasi'!E22</f>
        <v>1.3911620294599018E-2</v>
      </c>
      <c r="F25" s="30">
        <f>'2_Normalisasi'!F22</f>
        <v>0.49999999999999961</v>
      </c>
      <c r="G25" s="30">
        <f>'2_Normalisasi'!G22</f>
        <v>0</v>
      </c>
      <c r="H25" s="30">
        <f>'2_Normalisasi'!H22</f>
        <v>0</v>
      </c>
      <c r="I25" s="30">
        <f>'2_Normalisasi'!I22</f>
        <v>1</v>
      </c>
      <c r="J25" s="30">
        <f>'2_Normalisasi'!J22</f>
        <v>0.66666666666666663</v>
      </c>
      <c r="K25" s="30">
        <f>'2_Normalisasi'!K22</f>
        <v>9.2946965554948063E-3</v>
      </c>
      <c r="L25" s="30">
        <f>'2_Normalisasi'!L22</f>
        <v>1</v>
      </c>
      <c r="M25" s="31">
        <f t="shared" si="0"/>
        <v>2.2445267202216486</v>
      </c>
      <c r="N25" s="31">
        <f t="shared" si="1"/>
        <v>1.5600870111055283</v>
      </c>
      <c r="O25" s="31">
        <f t="shared" si="2"/>
        <v>1.8764964141443137</v>
      </c>
      <c r="P25" s="36">
        <f t="shared" si="3"/>
        <v>2</v>
      </c>
      <c r="Q25" s="37" t="str">
        <f t="shared" si="4"/>
        <v>Klaster 2 (Berkembang)</v>
      </c>
    </row>
    <row r="26" spans="1:18" ht="15" customHeight="1" x14ac:dyDescent="0.25">
      <c r="M26" s="38"/>
      <c r="N26" s="38"/>
      <c r="O26" s="38"/>
    </row>
    <row r="27" spans="1:18" ht="15" customHeight="1" x14ac:dyDescent="0.25">
      <c r="A27" s="8" t="s">
        <v>140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ht="21.75" customHeight="1" x14ac:dyDescent="0.25">
      <c r="A28" s="16" t="s">
        <v>130</v>
      </c>
      <c r="B28" s="16" t="s">
        <v>141</v>
      </c>
      <c r="C28" s="16" t="s">
        <v>102</v>
      </c>
      <c r="D28" s="16" t="s">
        <v>103</v>
      </c>
      <c r="E28" s="16" t="s">
        <v>104</v>
      </c>
      <c r="F28" s="16" t="s">
        <v>105</v>
      </c>
      <c r="G28" s="16" t="s">
        <v>106</v>
      </c>
      <c r="H28" s="16" t="s">
        <v>107</v>
      </c>
      <c r="I28" s="16" t="s">
        <v>108</v>
      </c>
      <c r="J28" s="16" t="s">
        <v>109</v>
      </c>
      <c r="K28" s="16" t="s">
        <v>110</v>
      </c>
      <c r="L28" s="16" t="s">
        <v>111</v>
      </c>
      <c r="M28" s="16" t="s">
        <v>142</v>
      </c>
    </row>
    <row r="29" spans="1:18" ht="21.75" customHeight="1" x14ac:dyDescent="0.25">
      <c r="A29" s="17" t="s">
        <v>143</v>
      </c>
      <c r="B29" s="39">
        <f>COUNTIF(P$11:P$25,1)</f>
        <v>1</v>
      </c>
      <c r="C29" s="29">
        <f>IFERROR(AVERAGEIF(P$11:P$25,1,C$11:C$25),0)</f>
        <v>3.9116428900129632E-2</v>
      </c>
      <c r="D29" s="29">
        <f>IFERROR(AVERAGEIF(P$11:P$25,1,D$11:D$25),0)</f>
        <v>1.3425549227015063E-2</v>
      </c>
      <c r="E29" s="29">
        <f>IFERROR(AVERAGEIF(P$11:P$25,1,E$11:E$25),0)</f>
        <v>1</v>
      </c>
      <c r="F29" s="29">
        <f>IFERROR(AVERAGEIF(P$11:P$25,1,F$11:F$25),0)</f>
        <v>1</v>
      </c>
      <c r="G29" s="29">
        <f>IFERROR(AVERAGEIF(P$11:P$25,1,G$11:G$25),0)</f>
        <v>1</v>
      </c>
      <c r="H29" s="29">
        <f>IFERROR(AVERAGEIF(P$11:P$25,1,H$11:H$25),0)</f>
        <v>1</v>
      </c>
      <c r="I29" s="29">
        <f>IFERROR(AVERAGEIF(P$11:P$25,1,I$11:I$25),0)</f>
        <v>0.66666666666666663</v>
      </c>
      <c r="J29" s="29">
        <f>IFERROR(AVERAGEIF(P$11:P$25,1,J$11:J$25),0)</f>
        <v>1</v>
      </c>
      <c r="K29" s="29">
        <f>IFERROR(AVERAGEIF(P$11:P$25,1,K$11:K$25),0)</f>
        <v>1</v>
      </c>
      <c r="L29" s="29">
        <f>IFERROR(AVERAGEIF(P$11:P$25,1,L$11:L$25),0)</f>
        <v>0.2189189189189189</v>
      </c>
      <c r="M29" s="40">
        <f>SUMPRODUCT((P$11:P$25=1)*((C$11:C$25-$C$5)^2+(D$11:D$25-$D$5)^2+(E$11:E$25-$E$5)^2+(F$11:F$25-$F$5)^2+(G$11:G$25-$G$5)^2+(H$11:H$25-$H$5)^2+(I$11:I$25-$I$5)^2+(J$11:J$25-$J$5)^2+(K$11:K$25-$K$5)^2+(L$11:L$25-$L$5)^2))</f>
        <v>0</v>
      </c>
    </row>
    <row r="30" spans="1:18" ht="21.75" customHeight="1" x14ac:dyDescent="0.25">
      <c r="A30" s="17" t="s">
        <v>144</v>
      </c>
      <c r="B30" s="39">
        <f>COUNTIF(P$11:P$25,2)</f>
        <v>8</v>
      </c>
      <c r="C30" s="29">
        <f>IFERROR(AVERAGEIF(P$11:P$25,2,C$11:C$25),0)</f>
        <v>0.52904970087438408</v>
      </c>
      <c r="D30" s="29">
        <f>IFERROR(AVERAGEIF(P$11:P$25,2,D$11:D$25),0)</f>
        <v>0.44924735557363749</v>
      </c>
      <c r="E30" s="29">
        <f>IFERROR(AVERAGEIF(P$11:P$25,2,E$11:E$25),0)</f>
        <v>3.2835515548281506E-2</v>
      </c>
      <c r="F30" s="29">
        <f>IFERROR(AVERAGEIF(P$11:P$25,2,F$11:F$25),0)</f>
        <v>0.42708333333333304</v>
      </c>
      <c r="G30" s="29">
        <f>IFERROR(AVERAGEIF(P$11:P$25,2,G$11:G$25),0)</f>
        <v>8.3333333333333329E-2</v>
      </c>
      <c r="H30" s="29">
        <f>IFERROR(AVERAGEIF(P$11:P$25,2,H$11:H$25),0)</f>
        <v>0.125</v>
      </c>
      <c r="I30" s="29">
        <f>IFERROR(AVERAGEIF(P$11:P$25,2,I$11:I$25),0)</f>
        <v>0.91666666666666663</v>
      </c>
      <c r="J30" s="29">
        <f>IFERROR(AVERAGEIF(P$11:P$25,2,J$11:J$25),0)</f>
        <v>0.16666666666666666</v>
      </c>
      <c r="K30" s="29">
        <f>IFERROR(AVERAGEIF(P$11:P$25,2,K$11:K$25),0)</f>
        <v>2.7713231273920176E-2</v>
      </c>
      <c r="L30" s="29">
        <f>IFERROR(AVERAGEIF(P$11:P$25,2,L$11:L$25),0)</f>
        <v>0.48074324324324325</v>
      </c>
      <c r="M30" s="40">
        <f>SUMPRODUCT((P$11:P$25=2)*((C$11:C$25-$C$6)^2+(D$11:D$25-$D$6)^2+(E$11:E$25-$E$6)^2+(F$11:F$25-$F$6)^2+(G$11:G$25-$G$6)^2+(H$11:H$25-$H$6)^2+(I$11:I$25-$I$6)^2+(J$11:J$25-$J$6)^2+(K$11:K$25-$K$6)^2+(L$11:L$25-$L$6)^2))</f>
        <v>8.2020199909058782</v>
      </c>
    </row>
    <row r="31" spans="1:18" ht="21.75" customHeight="1" x14ac:dyDescent="0.25">
      <c r="A31" s="17" t="s">
        <v>145</v>
      </c>
      <c r="B31" s="39">
        <f>COUNTIF(P$11:P$25,3)</f>
        <v>6</v>
      </c>
      <c r="C31" s="29">
        <f>IFERROR(AVERAGEIF(P$11:P$25,3,C$11:C$25),0)</f>
        <v>6.5884338088672792E-2</v>
      </c>
      <c r="D31" s="29">
        <f>IFERROR(AVERAGEIF(P$11:P$25,3,D$11:D$25),0)</f>
        <v>0.11513425549227101</v>
      </c>
      <c r="E31" s="29">
        <f>IFERROR(AVERAGEIF(P$11:P$25,3,E$11:E$25),0)</f>
        <v>8.647026732133116E-2</v>
      </c>
      <c r="F31" s="29">
        <f>IFERROR(AVERAGEIF(P$11:P$25,3,F$11:F$25),0)</f>
        <v>0.4583333333333332</v>
      </c>
      <c r="G31" s="29">
        <f>IFERROR(AVERAGEIF(P$11:P$25,3,G$11:G$25),0)</f>
        <v>0.61111111111111105</v>
      </c>
      <c r="H31" s="29">
        <f>IFERROR(AVERAGEIF(P$11:P$25,3,H$11:H$25),0)</f>
        <v>0.49999999999999994</v>
      </c>
      <c r="I31" s="29">
        <f>IFERROR(AVERAGEIF(P$11:P$25,3,I$11:I$25),0)</f>
        <v>0.44444444444444442</v>
      </c>
      <c r="J31" s="29">
        <f>IFERROR(AVERAGEIF(P$11:P$25,3,J$11:J$25),0)</f>
        <v>0.77777777777777768</v>
      </c>
      <c r="K31" s="29">
        <f>IFERROR(AVERAGEIF(P$11:P$25,3,K$11:K$25),0)</f>
        <v>7.4630945872061219E-2</v>
      </c>
      <c r="L31" s="29">
        <f>IFERROR(AVERAGEIF(P$11:P$25,3,L$11:L$25),0)</f>
        <v>0.25450450450450451</v>
      </c>
      <c r="M31" s="40">
        <f>SUMPRODUCT((P$11:P$25=3)*((C$11:C$25-$C$7)^2+(D$11:D$25-$D$7)^2+(E$11:E$25-$E$7)^2+(F$11:F$25-$F$7)^2+(G$11:G$25-$G$7)^2+(H$11:H$25-$H$7)^2+(I$11:I$25-$I$7)^2+(J$11:J$25-$J$7)^2+(K$11:K$25-$K$7)^2+(L$11:L$25-$L$7)^2))</f>
        <v>5.8549177941042627</v>
      </c>
    </row>
    <row r="33" spans="1:18" ht="15" customHeight="1" x14ac:dyDescent="0.25">
      <c r="A33" s="109" t="s">
        <v>146</v>
      </c>
      <c r="B33" s="109"/>
      <c r="C33" s="41">
        <f>SUM(M29:M31)</f>
        <v>14.056937785010142</v>
      </c>
      <c r="M33" s="42"/>
    </row>
    <row r="37" spans="1:18" ht="15" customHeight="1" x14ac:dyDescent="0.25">
      <c r="A37" s="8" t="s">
        <v>147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5" customHeight="1" x14ac:dyDescent="0.25">
      <c r="A38" s="16" t="s">
        <v>34</v>
      </c>
      <c r="B38" s="16" t="s">
        <v>114</v>
      </c>
      <c r="C38" s="16" t="s">
        <v>102</v>
      </c>
      <c r="D38" s="16" t="s">
        <v>103</v>
      </c>
      <c r="E38" s="16" t="s">
        <v>104</v>
      </c>
      <c r="F38" s="16" t="s">
        <v>105</v>
      </c>
      <c r="G38" s="16" t="s">
        <v>106</v>
      </c>
      <c r="H38" s="16" t="s">
        <v>107</v>
      </c>
      <c r="I38" s="16" t="s">
        <v>108</v>
      </c>
      <c r="J38" s="16" t="s">
        <v>109</v>
      </c>
      <c r="K38" s="16" t="s">
        <v>110</v>
      </c>
      <c r="L38" s="16" t="s">
        <v>111</v>
      </c>
      <c r="M38" s="16" t="s">
        <v>135</v>
      </c>
      <c r="N38" s="16" t="s">
        <v>136</v>
      </c>
      <c r="O38" s="16" t="s">
        <v>137</v>
      </c>
      <c r="P38" s="16" t="s">
        <v>138</v>
      </c>
      <c r="Q38" s="16" t="s">
        <v>139</v>
      </c>
    </row>
    <row r="39" spans="1:18" ht="15" customHeight="1" x14ac:dyDescent="0.25">
      <c r="A39" s="28">
        <f t="shared" ref="A39:L39" si="5">A11</f>
        <v>1</v>
      </c>
      <c r="B39" s="18" t="str">
        <f t="shared" si="5"/>
        <v>Candi Borobudur</v>
      </c>
      <c r="C39" s="30">
        <f t="shared" si="5"/>
        <v>3.9116428900129632E-2</v>
      </c>
      <c r="D39" s="30">
        <f t="shared" si="5"/>
        <v>1.3425549227015063E-2</v>
      </c>
      <c r="E39" s="30">
        <f t="shared" si="5"/>
        <v>1</v>
      </c>
      <c r="F39" s="30">
        <f t="shared" si="5"/>
        <v>1</v>
      </c>
      <c r="G39" s="30">
        <f t="shared" si="5"/>
        <v>1</v>
      </c>
      <c r="H39" s="30">
        <f t="shared" si="5"/>
        <v>1</v>
      </c>
      <c r="I39" s="30">
        <f t="shared" si="5"/>
        <v>0.66666666666666663</v>
      </c>
      <c r="J39" s="30">
        <f t="shared" si="5"/>
        <v>1</v>
      </c>
      <c r="K39" s="30">
        <f t="shared" si="5"/>
        <v>1</v>
      </c>
      <c r="L39" s="30">
        <f t="shared" si="5"/>
        <v>0.2189189189189189</v>
      </c>
      <c r="M39" s="31">
        <f t="shared" ref="M39:M53" si="6">SQRT((C39-C$29)^2+(D39-D$29)^2+(E39-E$29)^2+(F39-F$29)^2+(G39-G$29)^2+(H39-H$29)^2+(I39-I$29)^2+(J39-J$29)^2+(K39-K$29)^2+(L39-L$29)^2)</f>
        <v>0</v>
      </c>
      <c r="N39" s="31">
        <f t="shared" ref="N39:N53" si="7">SQRT((C39-C$30)^2+(D39-D$30)^2+(E39-E$30)^2+(F39-F$30)^2+(G39-G$30)^2+(H39-H$30)^2+(I39-I$30)^2+(J39-J$30)^2+(K39-K$30)^2+(L39-L$30)^2)</f>
        <v>2.251745248573592</v>
      </c>
      <c r="O39" s="31">
        <f t="shared" ref="O39:O53" si="8">SQRT((C39-C$31)^2+(D39-D$31)^2+(E39-E$31)^2+(F39-F$31)^2+(G39-G$31)^2+(H39-H$31)^2+(I39-I$31)^2+(J39-J$31)^2+(K39-K$31)^2+(L39-L$31)^2)</f>
        <v>1.5800553004237925</v>
      </c>
      <c r="P39" s="36">
        <f t="shared" ref="P39:P53" si="9">MATCH(MIN(M39:O39),M39:O39,0)</f>
        <v>1</v>
      </c>
      <c r="Q39" s="37" t="str">
        <f t="shared" ref="Q39:Q53" si="10">IF(P39=1,"Klaster 1 (Unggulan)",IF(P39=2,"Klaster 2 (Berkembang)","Klaster 3 (Potensial)"))</f>
        <v>Klaster 1 (Unggulan)</v>
      </c>
    </row>
    <row r="40" spans="1:18" ht="15" customHeight="1" x14ac:dyDescent="0.25">
      <c r="A40" s="28">
        <f t="shared" ref="A40:L40" si="11">A12</f>
        <v>2</v>
      </c>
      <c r="B40" s="18" t="str">
        <f t="shared" si="11"/>
        <v>Punthuk Setumbu</v>
      </c>
      <c r="C40" s="30">
        <f t="shared" si="11"/>
        <v>0</v>
      </c>
      <c r="D40" s="30">
        <f t="shared" si="11"/>
        <v>3.5394629780309814E-2</v>
      </c>
      <c r="E40" s="30">
        <f t="shared" si="11"/>
        <v>0.12847790507364976</v>
      </c>
      <c r="F40" s="30">
        <f t="shared" si="11"/>
        <v>0.83333333333333326</v>
      </c>
      <c r="G40" s="30">
        <f t="shared" si="11"/>
        <v>0.33333333333333331</v>
      </c>
      <c r="H40" s="30">
        <f t="shared" si="11"/>
        <v>0.33333333333333331</v>
      </c>
      <c r="I40" s="30">
        <f t="shared" si="11"/>
        <v>1</v>
      </c>
      <c r="J40" s="30">
        <f t="shared" si="11"/>
        <v>0.66666666666666663</v>
      </c>
      <c r="K40" s="30">
        <f t="shared" si="11"/>
        <v>0.14160743575724438</v>
      </c>
      <c r="L40" s="30">
        <f t="shared" si="11"/>
        <v>0.38648648648648648</v>
      </c>
      <c r="M40" s="31">
        <f t="shared" si="6"/>
        <v>1.6325958074158233</v>
      </c>
      <c r="N40" s="31">
        <f t="shared" si="7"/>
        <v>1.0050162396933588</v>
      </c>
      <c r="O40" s="31">
        <f t="shared" si="8"/>
        <v>0.77519018004277795</v>
      </c>
      <c r="P40" s="36">
        <f t="shared" si="9"/>
        <v>3</v>
      </c>
      <c r="Q40" s="37" t="str">
        <f t="shared" si="10"/>
        <v>Klaster 3 (Potensial)</v>
      </c>
    </row>
    <row r="41" spans="1:18" ht="15" customHeight="1" x14ac:dyDescent="0.25">
      <c r="A41" s="28">
        <f t="shared" ref="A41:L41" si="12">A13</f>
        <v>3</v>
      </c>
      <c r="B41" s="18" t="str">
        <f t="shared" si="12"/>
        <v>Candi Pawon</v>
      </c>
      <c r="C41" s="30">
        <f t="shared" si="12"/>
        <v>7.0409572020233333E-2</v>
      </c>
      <c r="D41" s="30">
        <f t="shared" si="12"/>
        <v>0</v>
      </c>
      <c r="E41" s="30">
        <f t="shared" si="12"/>
        <v>5.4828150572831427E-2</v>
      </c>
      <c r="F41" s="30">
        <f t="shared" si="12"/>
        <v>0.41666666666666663</v>
      </c>
      <c r="G41" s="30">
        <f t="shared" si="12"/>
        <v>0.66666666666666663</v>
      </c>
      <c r="H41" s="30">
        <f t="shared" si="12"/>
        <v>0.33333333333333331</v>
      </c>
      <c r="I41" s="30">
        <f t="shared" si="12"/>
        <v>0.33333333333333331</v>
      </c>
      <c r="J41" s="30">
        <f t="shared" si="12"/>
        <v>1</v>
      </c>
      <c r="K41" s="30">
        <f t="shared" si="12"/>
        <v>3.4991798797156914E-2</v>
      </c>
      <c r="L41" s="30">
        <f t="shared" si="12"/>
        <v>0.10810810810810811</v>
      </c>
      <c r="M41" s="31">
        <f t="shared" si="6"/>
        <v>1.6867049652365698</v>
      </c>
      <c r="N41" s="31">
        <f t="shared" si="7"/>
        <v>1.4035949688158527</v>
      </c>
      <c r="O41" s="31">
        <f t="shared" si="8"/>
        <v>0.36278019329147648</v>
      </c>
      <c r="P41" s="36">
        <f t="shared" si="9"/>
        <v>3</v>
      </c>
      <c r="Q41" s="37" t="str">
        <f t="shared" si="10"/>
        <v>Klaster 3 (Potensial)</v>
      </c>
    </row>
    <row r="42" spans="1:18" ht="15" customHeight="1" x14ac:dyDescent="0.25">
      <c r="A42" s="28">
        <f t="shared" ref="A42:L42" si="13">A14</f>
        <v>4</v>
      </c>
      <c r="B42" s="18" t="str">
        <f t="shared" si="13"/>
        <v>Candi Mendut</v>
      </c>
      <c r="C42" s="30">
        <f t="shared" si="13"/>
        <v>0.15002300966407275</v>
      </c>
      <c r="D42" s="30">
        <f t="shared" si="13"/>
        <v>4.719283970708095E-2</v>
      </c>
      <c r="E42" s="30">
        <f t="shared" si="13"/>
        <v>7.9378068739770866E-2</v>
      </c>
      <c r="F42" s="30">
        <f t="shared" si="13"/>
        <v>0.49999999999999961</v>
      </c>
      <c r="G42" s="30">
        <f t="shared" si="13"/>
        <v>0.66666666666666663</v>
      </c>
      <c r="H42" s="30">
        <f t="shared" si="13"/>
        <v>0.66666666666666663</v>
      </c>
      <c r="I42" s="30">
        <f t="shared" si="13"/>
        <v>0.33333333333333331</v>
      </c>
      <c r="J42" s="30">
        <f t="shared" si="13"/>
        <v>1</v>
      </c>
      <c r="K42" s="30">
        <f t="shared" si="13"/>
        <v>5.4127938764352103E-2</v>
      </c>
      <c r="L42" s="30">
        <f t="shared" si="13"/>
        <v>0.14324324324324325</v>
      </c>
      <c r="M42" s="31">
        <f t="shared" si="6"/>
        <v>1.5312476407586415</v>
      </c>
      <c r="N42" s="31">
        <f t="shared" si="7"/>
        <v>1.4476874249863023</v>
      </c>
      <c r="O42" s="31">
        <f t="shared" si="8"/>
        <v>0.34478079496355146</v>
      </c>
      <c r="P42" s="36">
        <f t="shared" si="9"/>
        <v>3</v>
      </c>
      <c r="Q42" s="37" t="str">
        <f t="shared" si="10"/>
        <v>Klaster 3 (Potensial)</v>
      </c>
    </row>
    <row r="43" spans="1:18" ht="15" customHeight="1" x14ac:dyDescent="0.25">
      <c r="A43" s="28">
        <f t="shared" ref="A43:L43" si="14">A15</f>
        <v>5</v>
      </c>
      <c r="B43" s="18" t="str">
        <f t="shared" si="14"/>
        <v>Ketep Pass</v>
      </c>
      <c r="C43" s="30">
        <f t="shared" si="14"/>
        <v>0.28163828808099872</v>
      </c>
      <c r="D43" s="30">
        <f t="shared" si="14"/>
        <v>0.10781122864117336</v>
      </c>
      <c r="E43" s="30">
        <f t="shared" si="14"/>
        <v>0.14893617021276595</v>
      </c>
      <c r="F43" s="30">
        <f t="shared" si="14"/>
        <v>0.66666666666666641</v>
      </c>
      <c r="G43" s="30">
        <f t="shared" si="14"/>
        <v>0.33333333333333331</v>
      </c>
      <c r="H43" s="30">
        <f t="shared" si="14"/>
        <v>0.66666666666666663</v>
      </c>
      <c r="I43" s="30">
        <f t="shared" si="14"/>
        <v>1</v>
      </c>
      <c r="J43" s="30">
        <f t="shared" si="14"/>
        <v>0.33333333333333331</v>
      </c>
      <c r="K43" s="30">
        <f t="shared" si="14"/>
        <v>0.15800984144341171</v>
      </c>
      <c r="L43" s="30">
        <f t="shared" si="14"/>
        <v>0.3108108108108108</v>
      </c>
      <c r="M43" s="31">
        <f t="shared" si="6"/>
        <v>1.6527700748001746</v>
      </c>
      <c r="N43" s="31">
        <f t="shared" si="7"/>
        <v>0.82773776632080598</v>
      </c>
      <c r="O43" s="31">
        <f t="shared" si="8"/>
        <v>0.84566051813304</v>
      </c>
      <c r="P43" s="36">
        <f t="shared" si="9"/>
        <v>2</v>
      </c>
      <c r="Q43" s="37" t="str">
        <f t="shared" si="10"/>
        <v>Klaster 2 (Berkembang)</v>
      </c>
    </row>
    <row r="44" spans="1:18" ht="15" customHeight="1" x14ac:dyDescent="0.25">
      <c r="A44" s="28">
        <f t="shared" ref="A44:L44" si="15">A16</f>
        <v>6</v>
      </c>
      <c r="B44" s="18" t="str">
        <f t="shared" si="15"/>
        <v>Kopeng</v>
      </c>
      <c r="C44" s="30">
        <f t="shared" si="15"/>
        <v>0.94799815922691344</v>
      </c>
      <c r="D44" s="30">
        <f t="shared" si="15"/>
        <v>0.86533767290480013</v>
      </c>
      <c r="E44" s="30">
        <f t="shared" si="15"/>
        <v>5.7283142389525366E-2</v>
      </c>
      <c r="F44" s="30">
        <f t="shared" si="15"/>
        <v>8.3333333333333023E-2</v>
      </c>
      <c r="G44" s="30">
        <f t="shared" si="15"/>
        <v>0.33333333333333331</v>
      </c>
      <c r="H44" s="30">
        <f t="shared" si="15"/>
        <v>0.33333333333333331</v>
      </c>
      <c r="I44" s="30">
        <f t="shared" si="15"/>
        <v>0.66666666666666663</v>
      </c>
      <c r="J44" s="30">
        <f t="shared" si="15"/>
        <v>0</v>
      </c>
      <c r="K44" s="30">
        <f t="shared" si="15"/>
        <v>3.116457080371788E-2</v>
      </c>
      <c r="L44" s="30">
        <f t="shared" si="15"/>
        <v>2.9729729729729718E-2</v>
      </c>
      <c r="M44" s="31">
        <f t="shared" si="6"/>
        <v>2.4787369050894945</v>
      </c>
      <c r="N44" s="31">
        <f t="shared" si="7"/>
        <v>0.93113713735560311</v>
      </c>
      <c r="O44" s="31">
        <f t="shared" si="8"/>
        <v>1.5146217790584626</v>
      </c>
      <c r="P44" s="36">
        <f t="shared" si="9"/>
        <v>2</v>
      </c>
      <c r="Q44" s="37" t="str">
        <f t="shared" si="10"/>
        <v>Klaster 2 (Berkembang)</v>
      </c>
    </row>
    <row r="45" spans="1:18" ht="15" customHeight="1" x14ac:dyDescent="0.25">
      <c r="A45" s="28">
        <f t="shared" ref="A45:L45" si="16">A17</f>
        <v>7</v>
      </c>
      <c r="B45" s="18" t="str">
        <f t="shared" si="16"/>
        <v>Air Terjun Kedung Kayang</v>
      </c>
      <c r="C45" s="30">
        <f t="shared" si="16"/>
        <v>0.33916244822827513</v>
      </c>
      <c r="D45" s="30">
        <f t="shared" si="16"/>
        <v>0.16273393002441022</v>
      </c>
      <c r="E45" s="30">
        <f t="shared" si="16"/>
        <v>1.1456628477905073E-2</v>
      </c>
      <c r="F45" s="30">
        <f t="shared" si="16"/>
        <v>0.58333333333333337</v>
      </c>
      <c r="G45" s="30">
        <f t="shared" si="16"/>
        <v>0</v>
      </c>
      <c r="H45" s="30">
        <f t="shared" si="16"/>
        <v>0</v>
      </c>
      <c r="I45" s="30">
        <f t="shared" si="16"/>
        <v>1</v>
      </c>
      <c r="J45" s="30">
        <f t="shared" si="16"/>
        <v>0</v>
      </c>
      <c r="K45" s="30">
        <f t="shared" si="16"/>
        <v>6.0142154182613447E-3</v>
      </c>
      <c r="L45" s="30">
        <f t="shared" si="16"/>
        <v>0.48378378378378378</v>
      </c>
      <c r="M45" s="31">
        <f t="shared" si="6"/>
        <v>2.3307556634027424</v>
      </c>
      <c r="N45" s="31">
        <f t="shared" si="7"/>
        <v>0.448095960584736</v>
      </c>
      <c r="O45" s="31">
        <f t="shared" si="8"/>
        <v>1.3009661721780479</v>
      </c>
      <c r="P45" s="36">
        <f t="shared" si="9"/>
        <v>2</v>
      </c>
      <c r="Q45" s="37" t="str">
        <f t="shared" si="10"/>
        <v>Klaster 2 (Berkembang)</v>
      </c>
    </row>
    <row r="46" spans="1:18" ht="15" customHeight="1" x14ac:dyDescent="0.25">
      <c r="A46" s="28">
        <f t="shared" ref="A46:L46" si="17">A18</f>
        <v>8</v>
      </c>
      <c r="B46" s="18" t="str">
        <f t="shared" si="17"/>
        <v>Telaga Bleder</v>
      </c>
      <c r="C46" s="30">
        <f t="shared" si="17"/>
        <v>0.58122411412795083</v>
      </c>
      <c r="D46" s="30">
        <f t="shared" si="17"/>
        <v>0.52441008950366064</v>
      </c>
      <c r="E46" s="30">
        <f t="shared" si="17"/>
        <v>5.7283142389525366E-3</v>
      </c>
      <c r="F46" s="30">
        <f t="shared" si="17"/>
        <v>0.16666666666666641</v>
      </c>
      <c r="G46" s="30">
        <f t="shared" si="17"/>
        <v>0</v>
      </c>
      <c r="H46" s="30">
        <f t="shared" si="17"/>
        <v>0</v>
      </c>
      <c r="I46" s="30">
        <f t="shared" si="17"/>
        <v>0.66666666666666663</v>
      </c>
      <c r="J46" s="30">
        <f t="shared" si="17"/>
        <v>0</v>
      </c>
      <c r="K46" s="30">
        <f t="shared" si="17"/>
        <v>3.8272279934390375E-3</v>
      </c>
      <c r="L46" s="30">
        <f t="shared" si="17"/>
        <v>0.20540540540540536</v>
      </c>
      <c r="M46" s="31">
        <f t="shared" si="6"/>
        <v>2.4961068444820378</v>
      </c>
      <c r="N46" s="31">
        <f t="shared" si="7"/>
        <v>0.51589915189981128</v>
      </c>
      <c r="O46" s="31">
        <f t="shared" si="8"/>
        <v>1.3453148948411631</v>
      </c>
      <c r="P46" s="36">
        <f t="shared" si="9"/>
        <v>2</v>
      </c>
      <c r="Q46" s="37" t="str">
        <f t="shared" si="10"/>
        <v>Klaster 2 (Berkembang)</v>
      </c>
    </row>
    <row r="47" spans="1:18" ht="15" customHeight="1" x14ac:dyDescent="0.25">
      <c r="A47" s="28">
        <f t="shared" ref="A47:L47" si="18">A19</f>
        <v>9</v>
      </c>
      <c r="B47" s="18" t="str">
        <f t="shared" si="18"/>
        <v>Bukit Rhema (Gereja Ayam)</v>
      </c>
      <c r="C47" s="30">
        <f t="shared" si="18"/>
        <v>3.1753336401297086E-2</v>
      </c>
      <c r="D47" s="30">
        <f t="shared" si="18"/>
        <v>3.010577705451797E-2</v>
      </c>
      <c r="E47" s="30">
        <f t="shared" si="18"/>
        <v>0.11211129296235679</v>
      </c>
      <c r="F47" s="30">
        <f t="shared" si="18"/>
        <v>0.74999999999999944</v>
      </c>
      <c r="G47" s="30">
        <f t="shared" si="18"/>
        <v>0.33333333333333331</v>
      </c>
      <c r="H47" s="30">
        <f t="shared" si="18"/>
        <v>0.33333333333333331</v>
      </c>
      <c r="I47" s="30">
        <f t="shared" si="18"/>
        <v>0.66666666666666663</v>
      </c>
      <c r="J47" s="30">
        <f t="shared" si="18"/>
        <v>0.66666666666666663</v>
      </c>
      <c r="K47" s="30">
        <f t="shared" si="18"/>
        <v>0.10333515582285402</v>
      </c>
      <c r="L47" s="30">
        <f t="shared" si="18"/>
        <v>0.83783783783783783</v>
      </c>
      <c r="M47" s="31">
        <f t="shared" si="6"/>
        <v>1.743056875777578</v>
      </c>
      <c r="N47" s="31">
        <f t="shared" si="7"/>
        <v>1.0417202898073483</v>
      </c>
      <c r="O47" s="31">
        <f t="shared" si="8"/>
        <v>0.77581573210095101</v>
      </c>
      <c r="P47" s="36">
        <f t="shared" si="9"/>
        <v>3</v>
      </c>
      <c r="Q47" s="37" t="str">
        <f t="shared" si="10"/>
        <v>Klaster 3 (Potensial)</v>
      </c>
    </row>
    <row r="48" spans="1:18" ht="15" customHeight="1" x14ac:dyDescent="0.25">
      <c r="A48" s="28">
        <f t="shared" ref="A48:L48" si="19">A20</f>
        <v>10</v>
      </c>
      <c r="B48" s="18" t="str">
        <f t="shared" si="19"/>
        <v>Sawah Sukomakmur</v>
      </c>
      <c r="C48" s="30">
        <f t="shared" si="19"/>
        <v>0.17579383341005206</v>
      </c>
      <c r="D48" s="30">
        <f t="shared" si="19"/>
        <v>0.16842961757526576</v>
      </c>
      <c r="E48" s="30">
        <f t="shared" si="19"/>
        <v>0</v>
      </c>
      <c r="F48" s="30">
        <f t="shared" si="19"/>
        <v>0.33333333333333282</v>
      </c>
      <c r="G48" s="30">
        <f t="shared" si="19"/>
        <v>0</v>
      </c>
      <c r="H48" s="30">
        <f t="shared" si="19"/>
        <v>0</v>
      </c>
      <c r="I48" s="30">
        <f t="shared" si="19"/>
        <v>1</v>
      </c>
      <c r="J48" s="30">
        <f t="shared" si="19"/>
        <v>0.33333333333333331</v>
      </c>
      <c r="K48" s="30">
        <f t="shared" si="19"/>
        <v>0</v>
      </c>
      <c r="L48" s="30">
        <f t="shared" si="19"/>
        <v>0.65405405405405392</v>
      </c>
      <c r="M48" s="31">
        <f t="shared" si="6"/>
        <v>2.287367386306177</v>
      </c>
      <c r="N48" s="31">
        <f t="shared" si="7"/>
        <v>0.54919201601264234</v>
      </c>
      <c r="O48" s="31">
        <f t="shared" si="8"/>
        <v>1.1544963621287927</v>
      </c>
      <c r="P48" s="36">
        <f t="shared" si="9"/>
        <v>2</v>
      </c>
      <c r="Q48" s="37" t="str">
        <f t="shared" si="10"/>
        <v>Klaster 2 (Berkembang)</v>
      </c>
    </row>
    <row r="49" spans="1:18" ht="15" customHeight="1" x14ac:dyDescent="0.25">
      <c r="A49" s="28">
        <f t="shared" ref="A49:L49" si="20">A21</f>
        <v>11</v>
      </c>
      <c r="B49" s="18" t="str">
        <f t="shared" si="20"/>
        <v>Museum Karmawibhangga</v>
      </c>
      <c r="C49" s="30">
        <f t="shared" si="20"/>
        <v>4.0036815462516397E-2</v>
      </c>
      <c r="D49" s="30">
        <f t="shared" si="20"/>
        <v>1.2205044751831219E-2</v>
      </c>
      <c r="E49" s="30">
        <f t="shared" si="20"/>
        <v>4.8281505728314238E-2</v>
      </c>
      <c r="F49" s="30">
        <f t="shared" si="20"/>
        <v>0.24999999999999981</v>
      </c>
      <c r="G49" s="30">
        <f t="shared" si="20"/>
        <v>1</v>
      </c>
      <c r="H49" s="30">
        <f t="shared" si="20"/>
        <v>0.66666666666666663</v>
      </c>
      <c r="I49" s="30">
        <f t="shared" si="20"/>
        <v>0</v>
      </c>
      <c r="J49" s="30">
        <f t="shared" si="20"/>
        <v>1</v>
      </c>
      <c r="K49" s="30">
        <f t="shared" si="20"/>
        <v>2.4056861673045379E-2</v>
      </c>
      <c r="L49" s="30">
        <f t="shared" si="20"/>
        <v>5.135135135135134E-2</v>
      </c>
      <c r="M49" s="31">
        <f t="shared" si="6"/>
        <v>1.7333118252596373</v>
      </c>
      <c r="N49" s="31">
        <f t="shared" si="7"/>
        <v>1.8205851292217359</v>
      </c>
      <c r="O49" s="31">
        <f t="shared" si="8"/>
        <v>0.72517483663866145</v>
      </c>
      <c r="P49" s="36">
        <f t="shared" si="9"/>
        <v>3</v>
      </c>
      <c r="Q49" s="37" t="str">
        <f t="shared" si="10"/>
        <v>Klaster 3 (Potensial)</v>
      </c>
    </row>
    <row r="50" spans="1:18" ht="15" customHeight="1" x14ac:dyDescent="0.25">
      <c r="A50" s="28">
        <f t="shared" ref="A50:L50" si="21">A22</f>
        <v>12</v>
      </c>
      <c r="B50" s="18" t="str">
        <f t="shared" si="21"/>
        <v>Taman Kyai Langgeng</v>
      </c>
      <c r="C50" s="30">
        <f t="shared" si="21"/>
        <v>0.10308329498391719</v>
      </c>
      <c r="D50" s="30">
        <f t="shared" si="21"/>
        <v>0.56590724165988604</v>
      </c>
      <c r="E50" s="30">
        <f t="shared" si="21"/>
        <v>9.5744680851063829E-2</v>
      </c>
      <c r="F50" s="30">
        <f t="shared" si="21"/>
        <v>0</v>
      </c>
      <c r="G50" s="30">
        <f t="shared" si="21"/>
        <v>0.66666666666666663</v>
      </c>
      <c r="H50" s="30">
        <f t="shared" si="21"/>
        <v>0.66666666666666663</v>
      </c>
      <c r="I50" s="30">
        <f t="shared" si="21"/>
        <v>0.33333333333333331</v>
      </c>
      <c r="J50" s="30">
        <f t="shared" si="21"/>
        <v>0.33333333333333331</v>
      </c>
      <c r="K50" s="30">
        <f t="shared" si="21"/>
        <v>8.9666484417714604E-2</v>
      </c>
      <c r="L50" s="30">
        <f t="shared" si="21"/>
        <v>0</v>
      </c>
      <c r="M50" s="31">
        <f t="shared" si="6"/>
        <v>1.9445862909806868</v>
      </c>
      <c r="N50" s="31">
        <f t="shared" si="7"/>
        <v>1.2720467865881915</v>
      </c>
      <c r="O50" s="31">
        <f t="shared" si="8"/>
        <v>0.84880790383720495</v>
      </c>
      <c r="P50" s="36">
        <f t="shared" si="9"/>
        <v>3</v>
      </c>
      <c r="Q50" s="37" t="str">
        <f t="shared" si="10"/>
        <v>Klaster 3 (Potensial)</v>
      </c>
    </row>
    <row r="51" spans="1:18" ht="15" customHeight="1" x14ac:dyDescent="0.25">
      <c r="A51" s="28">
        <f t="shared" ref="A51:L51" si="22">A23</f>
        <v>13</v>
      </c>
      <c r="B51" s="18" t="str">
        <f t="shared" si="22"/>
        <v>Gunung Andong</v>
      </c>
      <c r="C51" s="30">
        <f t="shared" si="22"/>
        <v>1</v>
      </c>
      <c r="D51" s="30">
        <f t="shared" si="22"/>
        <v>0.71440195280716101</v>
      </c>
      <c r="E51" s="30">
        <f t="shared" si="22"/>
        <v>2.20949263502455E-2</v>
      </c>
      <c r="F51" s="30">
        <f t="shared" si="22"/>
        <v>0.66666666666666641</v>
      </c>
      <c r="G51" s="30">
        <f t="shared" si="22"/>
        <v>0</v>
      </c>
      <c r="H51" s="30">
        <f t="shared" si="22"/>
        <v>0</v>
      </c>
      <c r="I51" s="30">
        <f t="shared" si="22"/>
        <v>1</v>
      </c>
      <c r="J51" s="30">
        <f t="shared" si="22"/>
        <v>0</v>
      </c>
      <c r="K51" s="30">
        <f t="shared" si="22"/>
        <v>1.1481683980317113E-2</v>
      </c>
      <c r="L51" s="30">
        <f t="shared" si="22"/>
        <v>0.74054054054054064</v>
      </c>
      <c r="M51" s="31">
        <f t="shared" si="6"/>
        <v>2.6158064317008449</v>
      </c>
      <c r="N51" s="31">
        <f t="shared" si="7"/>
        <v>0.68896040816958615</v>
      </c>
      <c r="O51" s="31">
        <f t="shared" si="8"/>
        <v>1.748283929977102</v>
      </c>
      <c r="P51" s="36">
        <f t="shared" si="9"/>
        <v>2</v>
      </c>
      <c r="Q51" s="37" t="str">
        <f t="shared" si="10"/>
        <v>Klaster 2 (Berkembang)</v>
      </c>
    </row>
    <row r="52" spans="1:18" ht="15" customHeight="1" x14ac:dyDescent="0.25">
      <c r="A52" s="28">
        <f t="shared" ref="A52:L52" si="23">A24</f>
        <v>14</v>
      </c>
      <c r="B52" s="18" t="str">
        <f t="shared" si="23"/>
        <v>Umbul Songo</v>
      </c>
      <c r="C52" s="30">
        <f t="shared" si="23"/>
        <v>0.88541187298670598</v>
      </c>
      <c r="D52" s="30">
        <f t="shared" si="23"/>
        <v>1</v>
      </c>
      <c r="E52" s="30">
        <f t="shared" si="23"/>
        <v>3.2733224222585926E-3</v>
      </c>
      <c r="F52" s="30">
        <f t="shared" si="23"/>
        <v>0.41666666666666663</v>
      </c>
      <c r="G52" s="30">
        <f t="shared" si="23"/>
        <v>0</v>
      </c>
      <c r="H52" s="30">
        <f t="shared" si="23"/>
        <v>0</v>
      </c>
      <c r="I52" s="30">
        <f t="shared" si="23"/>
        <v>1</v>
      </c>
      <c r="J52" s="30">
        <f t="shared" si="23"/>
        <v>0</v>
      </c>
      <c r="K52" s="30">
        <f t="shared" si="23"/>
        <v>1.9136139967195188E-3</v>
      </c>
      <c r="L52" s="30">
        <f t="shared" si="23"/>
        <v>0.42162162162162165</v>
      </c>
      <c r="M52" s="31">
        <f t="shared" si="6"/>
        <v>2.6779960612166391</v>
      </c>
      <c r="N52" s="31">
        <f t="shared" si="7"/>
        <v>0.70196691967897962</v>
      </c>
      <c r="O52" s="31">
        <f t="shared" si="8"/>
        <v>1.7417013484626336</v>
      </c>
      <c r="P52" s="36">
        <f t="shared" si="9"/>
        <v>2</v>
      </c>
      <c r="Q52" s="37" t="str">
        <f t="shared" si="10"/>
        <v>Klaster 2 (Berkembang)</v>
      </c>
    </row>
    <row r="53" spans="1:18" ht="15" customHeight="1" x14ac:dyDescent="0.25">
      <c r="A53" s="28">
        <f t="shared" ref="A53:L53" si="24">A25</f>
        <v>15</v>
      </c>
      <c r="B53" s="18" t="str">
        <f t="shared" si="24"/>
        <v>Puthuk Mongkrong</v>
      </c>
      <c r="C53" s="30">
        <f t="shared" si="24"/>
        <v>2.116889093417626E-2</v>
      </c>
      <c r="D53" s="30">
        <f t="shared" si="24"/>
        <v>5.0854353132628871E-2</v>
      </c>
      <c r="E53" s="30">
        <f t="shared" si="24"/>
        <v>1.3911620294599018E-2</v>
      </c>
      <c r="F53" s="30">
        <f t="shared" si="24"/>
        <v>0.49999999999999961</v>
      </c>
      <c r="G53" s="30">
        <f t="shared" si="24"/>
        <v>0</v>
      </c>
      <c r="H53" s="30">
        <f t="shared" si="24"/>
        <v>0</v>
      </c>
      <c r="I53" s="30">
        <f t="shared" si="24"/>
        <v>1</v>
      </c>
      <c r="J53" s="30">
        <f t="shared" si="24"/>
        <v>0.66666666666666663</v>
      </c>
      <c r="K53" s="30">
        <f t="shared" si="24"/>
        <v>9.2946965554948063E-3</v>
      </c>
      <c r="L53" s="30">
        <f t="shared" si="24"/>
        <v>1</v>
      </c>
      <c r="M53" s="31">
        <f t="shared" si="6"/>
        <v>2.2445267202216486</v>
      </c>
      <c r="N53" s="31">
        <f t="shared" si="7"/>
        <v>0.98580706344418201</v>
      </c>
      <c r="O53" s="31">
        <f t="shared" si="8"/>
        <v>1.2319127603667104</v>
      </c>
      <c r="P53" s="36">
        <f t="shared" si="9"/>
        <v>2</v>
      </c>
      <c r="Q53" s="37" t="str">
        <f t="shared" si="10"/>
        <v>Klaster 2 (Berkembang)</v>
      </c>
    </row>
    <row r="54" spans="1:18" ht="15" customHeight="1" x14ac:dyDescent="0.25">
      <c r="M54" s="38"/>
      <c r="N54" s="38"/>
      <c r="O54" s="38"/>
    </row>
    <row r="55" spans="1:18" ht="15" customHeight="1" x14ac:dyDescent="0.25">
      <c r="A55" s="110" t="s">
        <v>148</v>
      </c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</row>
    <row r="56" spans="1:18" ht="24" customHeight="1" x14ac:dyDescent="0.25">
      <c r="A56" s="16" t="s">
        <v>130</v>
      </c>
      <c r="B56" s="16" t="s">
        <v>141</v>
      </c>
      <c r="C56" s="16" t="s">
        <v>102</v>
      </c>
      <c r="D56" s="16" t="s">
        <v>103</v>
      </c>
      <c r="E56" s="16" t="s">
        <v>104</v>
      </c>
      <c r="F56" s="16" t="s">
        <v>105</v>
      </c>
      <c r="G56" s="16" t="s">
        <v>106</v>
      </c>
      <c r="H56" s="16" t="s">
        <v>107</v>
      </c>
      <c r="I56" s="16" t="s">
        <v>108</v>
      </c>
      <c r="J56" s="16" t="s">
        <v>109</v>
      </c>
      <c r="K56" s="16" t="s">
        <v>110</v>
      </c>
      <c r="L56" s="16" t="s">
        <v>111</v>
      </c>
      <c r="M56" s="16" t="s">
        <v>142</v>
      </c>
    </row>
    <row r="57" spans="1:18" ht="24" customHeight="1" x14ac:dyDescent="0.25">
      <c r="A57" s="17" t="s">
        <v>143</v>
      </c>
      <c r="B57" s="39">
        <f>COUNTIF(P$39:P$53,1)</f>
        <v>1</v>
      </c>
      <c r="C57" s="29">
        <f t="shared" ref="C57:L57" si="25">IFERROR(AVERAGEIF($P$39:$P$53,1,C$39:C$53),0)</f>
        <v>3.9116428900129632E-2</v>
      </c>
      <c r="D57" s="29">
        <f t="shared" si="25"/>
        <v>1.3425549227015063E-2</v>
      </c>
      <c r="E57" s="29">
        <f t="shared" si="25"/>
        <v>1</v>
      </c>
      <c r="F57" s="29">
        <f t="shared" si="25"/>
        <v>1</v>
      </c>
      <c r="G57" s="29">
        <f t="shared" si="25"/>
        <v>1</v>
      </c>
      <c r="H57" s="29">
        <f t="shared" si="25"/>
        <v>1</v>
      </c>
      <c r="I57" s="29">
        <f t="shared" si="25"/>
        <v>0.66666666666666663</v>
      </c>
      <c r="J57" s="29">
        <f t="shared" si="25"/>
        <v>1</v>
      </c>
      <c r="K57" s="29">
        <f t="shared" si="25"/>
        <v>1</v>
      </c>
      <c r="L57" s="29">
        <f t="shared" si="25"/>
        <v>0.2189189189189189</v>
      </c>
      <c r="M57" s="40">
        <f>SUMPRODUCT((P$39:P$53=1)*((C$39:C$53-$C$29)^2+(D$39:D$53-$D$29)^2+(E$39:E$53-$E$29)^2+(F$39:F$53-$F$29)^2+(G$39:G$53-$G$29)^2+(H$39:H$53-$H$29)^2+(I$39:I$53-$I$29)^2+(J$39:J$53-$J$29)^2+(K$39:K$53-$K$29)^2+(L$39:L$53-$L$29)^2))</f>
        <v>0</v>
      </c>
    </row>
    <row r="58" spans="1:18" ht="24" customHeight="1" x14ac:dyDescent="0.25">
      <c r="A58" s="17" t="s">
        <v>144</v>
      </c>
      <c r="B58" s="39">
        <f>COUNTIF(P$39:P$53,2)</f>
        <v>8</v>
      </c>
      <c r="C58" s="29">
        <f t="shared" ref="C58:L58" si="26">IFERROR(AVERAGEIF($P$39:$P$53,2,C$39:C$53),0)</f>
        <v>0.52904970087438408</v>
      </c>
      <c r="D58" s="29">
        <f t="shared" si="26"/>
        <v>0.44924735557363749</v>
      </c>
      <c r="E58" s="29">
        <f t="shared" si="26"/>
        <v>3.2835515548281506E-2</v>
      </c>
      <c r="F58" s="29">
        <f t="shared" si="26"/>
        <v>0.42708333333333304</v>
      </c>
      <c r="G58" s="29">
        <f t="shared" si="26"/>
        <v>8.3333333333333329E-2</v>
      </c>
      <c r="H58" s="29">
        <f t="shared" si="26"/>
        <v>0.125</v>
      </c>
      <c r="I58" s="29">
        <f t="shared" si="26"/>
        <v>0.91666666666666663</v>
      </c>
      <c r="J58" s="29">
        <f t="shared" si="26"/>
        <v>0.16666666666666666</v>
      </c>
      <c r="K58" s="29">
        <f t="shared" si="26"/>
        <v>2.7713231273920176E-2</v>
      </c>
      <c r="L58" s="29">
        <f t="shared" si="26"/>
        <v>0.48074324324324325</v>
      </c>
      <c r="M58" s="40">
        <f>SUMPRODUCT((P$39:P$53=2)*((C$39:C$53-$C$30)^2+(D$39:D$53-$D$30)^2+(E$39:E$53-$E$30)^2+(F$39:F$53-$F$30)^2+(G$39:G$53-$G$30)^2+(H$39:H$53-$H$30)^2+(I$39:I$53-$I$30)^2+(J$39:J$53-$J$30)^2+(K$39:K$53-$K$30)^2+(L$39:L$53-$L$30)^2))</f>
        <v>4.2599595403171158</v>
      </c>
    </row>
    <row r="59" spans="1:18" ht="24" customHeight="1" x14ac:dyDescent="0.25">
      <c r="A59" s="17" t="s">
        <v>145</v>
      </c>
      <c r="B59" s="39">
        <f>COUNTIF(P$39:P$53,3)</f>
        <v>6</v>
      </c>
      <c r="C59" s="29">
        <f t="shared" ref="C59:L59" si="27">IFERROR(AVERAGEIF($P$39:$P$53,3,C$39:C$53),0)</f>
        <v>6.5884338088672792E-2</v>
      </c>
      <c r="D59" s="29">
        <f t="shared" si="27"/>
        <v>0.11513425549227101</v>
      </c>
      <c r="E59" s="29">
        <f t="shared" si="27"/>
        <v>8.647026732133116E-2</v>
      </c>
      <c r="F59" s="29">
        <f t="shared" si="27"/>
        <v>0.4583333333333332</v>
      </c>
      <c r="G59" s="29">
        <f t="shared" si="27"/>
        <v>0.61111111111111105</v>
      </c>
      <c r="H59" s="29">
        <f t="shared" si="27"/>
        <v>0.49999999999999994</v>
      </c>
      <c r="I59" s="29">
        <f t="shared" si="27"/>
        <v>0.44444444444444442</v>
      </c>
      <c r="J59" s="29">
        <f t="shared" si="27"/>
        <v>0.77777777777777768</v>
      </c>
      <c r="K59" s="29">
        <f t="shared" si="27"/>
        <v>7.4630945872061219E-2</v>
      </c>
      <c r="L59" s="29">
        <f t="shared" si="27"/>
        <v>0.25450450450450451</v>
      </c>
      <c r="M59" s="40">
        <f>SUMPRODUCT((P$39:P$53=3)*((C$39:C$53-$C$31)^2+(D$39:D$53-$D$31)^2+(E$39:E$53-$E$31)^2+(F$39:F$53-$F$31)^2+(G$39:G$53-$G$31)^2+(H$39:H$53-$H$31)^2+(I$39:I$53-$I$31)^2+(J$39:J$53-$J$31)^2+(K$39:K$53-$K$31)^2+(L$39:L$53-$L$31)^2))</f>
        <v>2.6996465319408078</v>
      </c>
    </row>
    <row r="60" spans="1:18" ht="15" customHeight="1" x14ac:dyDescent="0.25">
      <c r="M60" s="43"/>
    </row>
    <row r="61" spans="1:18" ht="15" customHeight="1" x14ac:dyDescent="0.25">
      <c r="A61" s="109" t="s">
        <v>149</v>
      </c>
      <c r="B61" s="109"/>
      <c r="C61" s="42">
        <f>SUM(M57:M59)</f>
        <v>6.9596060722579232</v>
      </c>
    </row>
    <row r="64" spans="1:18" ht="19.5" customHeight="1" x14ac:dyDescent="0.25">
      <c r="A64" s="111" t="s">
        <v>150</v>
      </c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</row>
    <row r="66" spans="1:17" ht="15" customHeight="1" x14ac:dyDescent="0.25">
      <c r="A66" s="112" t="s">
        <v>151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</row>
    <row r="67" spans="1:17" ht="15" customHeight="1" x14ac:dyDescent="0.25">
      <c r="A67" s="113" t="s">
        <v>152</v>
      </c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</row>
    <row r="68" spans="1:17" ht="15" customHeight="1" x14ac:dyDescent="0.25">
      <c r="A68" s="44" t="s">
        <v>34</v>
      </c>
      <c r="B68" s="44" t="s">
        <v>114</v>
      </c>
      <c r="C68" s="44" t="s">
        <v>138</v>
      </c>
      <c r="D68" s="44" t="s">
        <v>153</v>
      </c>
      <c r="E68" s="44" t="s">
        <v>154</v>
      </c>
      <c r="F68" s="44" t="s">
        <v>155</v>
      </c>
      <c r="G68" s="44" t="s">
        <v>156</v>
      </c>
    </row>
    <row r="69" spans="1:17" ht="15" customHeight="1" x14ac:dyDescent="0.25">
      <c r="A69" s="45">
        <f t="shared" ref="A69:B83" si="28">A39</f>
        <v>1</v>
      </c>
      <c r="B69" s="46" t="str">
        <f t="shared" si="28"/>
        <v>Candi Borobudur</v>
      </c>
      <c r="C69" s="47">
        <f t="shared" ref="C69:C83" si="29">P39</f>
        <v>1</v>
      </c>
      <c r="D69" s="48">
        <f>IF(C69=1,SQRT((C39-C57)^2+(D39-D57)^2+(E39-E57)^2+(F39-F57)^2+(G39-G57)^2+(H39-H57)^2+(I39-I57)^2+(J39-J57)^2+(K39-K57)^2+(L39-L57)^2),IF(C69=2,SQRT((C39-C58)^2+(D39-D58)^2+(E39-E58)^2+(F39-F58)^2+(G39-G58)^2+(H39-H58)^2+(I39-I58)^2+(J39-J58)^2+(K39-K58)^2+(L39-L58)^2),SQRT((C39-C59)^2+(D39-D59)^2+(E39-E59)^2+(F39-F59)^2+(G39-G59)^2+(H39-H59)^2+(I39-I59)^2+(J39-J59)^2+(K39-K59)^2+(L39-L59)^2)))</f>
        <v>0</v>
      </c>
      <c r="E69" s="48">
        <f>IF(C69=1,MIN(SQRT((C39-C58)^2+(D39-D58)^2+(E39-E58)^2+(F39-F58)^2+(G39-G58)^2+(H39-H58)^2+(I39-I58)^2+(J39-J58)^2+(K39-K58)^2+(L39-L58)^2),SQRT((C39-C59)^2+(D39-D59)^2+(E39-E59)^2+(F39-F59)^2+(G39-G59)^2+(H39-H59)^2+(I39-I59)^2+(J39-J59)^2+(K39-K59)^2+(L39-L59)^2)),IF(C69=2,MIN(SQRT((C39-C57)^2+(D39-D57)^2+(E39-E57)^2+(F39-F57)^2+(G39-G57)^2+(H39-H57)^2+(I39-I57)^2+(J39-J57)^2+(K39-K57)^2+(L39-L57)^2),SQRT((C39-C59)^2+(D39-D59)^2+(E39-E59)^2+(F39-F59)^2+(G39-G59)^2+(H39-H59)^2+(I39-I59)^2+(J39-J59)^2+(K39-K59)^2+(L39-L59)^2)),MIN(SQRT((C39-C57)^2+(D39-D57)^2+(E39-E57)^2+(F39-F57)^2+(G39-G57)^2+(H39-H57)^2+(I39-I57)^2+(J39-J57)^2+(K39-K57)^2+(L39-L57)^2),SQRT((C39-C58)^2+(D39-D58)^2+(E39-E58)^2+(F39-F58)^2+(G39-G58)^2+(H39-H58)^2+(I39-I58)^2+(J39-J58)^2+(K39-K58)^2+(L39-L58)^2))))</f>
        <v>1.5800553004237925</v>
      </c>
      <c r="F69" s="49">
        <f t="shared" ref="F69:F83" si="30">(E69-D69)/MAX(D69,E69)</f>
        <v>1</v>
      </c>
      <c r="G69" s="50" t="str">
        <f t="shared" ref="G69:G83" si="31">IF(F69&gt;0.7,"Sangat Baik",IF(F69&gt;0.5,"Baik",IF(F69&gt;0.25,"Lemah","Salah Klaster")))</f>
        <v>Sangat Baik</v>
      </c>
    </row>
    <row r="70" spans="1:17" ht="15" customHeight="1" x14ac:dyDescent="0.25">
      <c r="A70" s="45">
        <f t="shared" si="28"/>
        <v>2</v>
      </c>
      <c r="B70" s="46" t="str">
        <f t="shared" si="28"/>
        <v>Punthuk Setumbu</v>
      </c>
      <c r="C70" s="47">
        <f t="shared" si="29"/>
        <v>3</v>
      </c>
      <c r="D70" s="48">
        <f>IF(C70=1,SQRT((C40-C57)^2+(D40-D57)^2+(E40-E57)^2+(F40-F57)^2+(G40-G57)^2+(H40-H57)^2+(I40-I57)^2+(J40-J57)^2+(K40-K57)^2+(L40-L57)^2),IF(C70=2,SQRT((C40-C58)^2+(D40-D58)^2+(E40-E58)^2+(F40-F58)^2+(G40-G58)^2+(H40-H58)^2+(I40-I58)^2+(J40-J58)^2+(K40-K58)^2+(L40-L58)^2),SQRT((C40-C59)^2+(D40-D59)^2+(E40-E59)^2+(F40-F59)^2+(G40-G59)^2+(H40-H59)^2+(I40-I59)^2+(J40-J59)^2+(K40-K59)^2+(L40-L59)^2)))</f>
        <v>0.77519018004277795</v>
      </c>
      <c r="E70" s="48">
        <f>IF(C70=1,MIN(SQRT((C40-C58)^2+(D40-D58)^2+(E40-E58)^2+(F40-F58)^2+(G40-G58)^2+(H40-H58)^2+(I40-I58)^2+(J40-J58)^2+(K40-K58)^2+(L40-L58)^2),SQRT((C40-C59)^2+(D40-D59)^2+(E40-E59)^2+(F40-F59)^2+(G40-G59)^2+(H40-H59)^2+(I40-I59)^2+(J40-J59)^2+(K40-K59)^2+(L40-L59)^2)),IF(C70=2,MIN(SQRT((C40-C57)^2+(D40-D57)^2+(E40-E57)^2+(F40-F57)^2+(G40-G57)^2+(H40-H57)^2+(I40-I57)^2+(J40-J57)^2+(K40-K57)^2+(L40-L57)^2),SQRT((C40-C59)^2+(D40-D59)^2+(E40-E59)^2+(F40-F59)^2+(G40-G59)^2+(H40-H59)^2+(I40-I59)^2+(J40-J59)^2+(K40-K59)^2+(L40-L59)^2)),MIN(SQRT((C40-C57)^2+(D40-D57)^2+(E40-E57)^2+(F40-F57)^2+(G40-G57)^2+(H40-H57)^2+(I40-I57)^2+(J40-J57)^2+(K40-K57)^2+(L40-L57)^2),SQRT((C40-C58)^2+(D40-D58)^2+(E40-E58)^2+(F40-F58)^2+(G40-G58)^2+(H40-H58)^2+(I40-I58)^2+(J40-J58)^2+(K40-K58)^2+(L40-L58)^2))))</f>
        <v>1.0050162396933588</v>
      </c>
      <c r="F70" s="49">
        <f t="shared" si="30"/>
        <v>0.22867895121844325</v>
      </c>
      <c r="G70" s="50" t="str">
        <f t="shared" si="31"/>
        <v>Salah Klaster</v>
      </c>
    </row>
    <row r="71" spans="1:17" ht="15" customHeight="1" x14ac:dyDescent="0.25">
      <c r="A71" s="45">
        <f t="shared" si="28"/>
        <v>3</v>
      </c>
      <c r="B71" s="46" t="str">
        <f t="shared" si="28"/>
        <v>Candi Pawon</v>
      </c>
      <c r="C71" s="47">
        <f t="shared" si="29"/>
        <v>3</v>
      </c>
      <c r="D71" s="48">
        <f>IF(C71=1,SQRT((C41-C57)^2+(D41-D57)^2+(E41-E57)^2+(F41-F57)^2+(G41-G57)^2+(H41-H57)^2+(I41-I57)^2+(J41-J57)^2+(K41-K57)^2+(L41-L57)^2),IF(C71=2,SQRT((C41-C58)^2+(D41-D58)^2+(E41-E58)^2+(F41-F58)^2+(G41-G58)^2+(H41-H58)^2+(I41-I58)^2+(J41-J58)^2+(K41-K58)^2+(L41-L58)^2),SQRT((C41-C59)^2+(D41-D59)^2+(E41-E59)^2+(F41-F59)^2+(G41-G59)^2+(H41-H59)^2+(I41-I59)^2+(J41-J59)^2+(K41-K59)^2+(L41-L59)^2)))</f>
        <v>0.36278019329147648</v>
      </c>
      <c r="E71" s="48">
        <f>IF(C71=1,MIN(SQRT((C41-C58)^2+(D41-D58)^2+(E41-E58)^2+(F41-F58)^2+(G41-G58)^2+(H41-H58)^2+(I41-I58)^2+(J41-J58)^2+(K41-K58)^2+(L41-L58)^2),SQRT((C41-C59)^2+(D41-D59)^2+(E41-E59)^2+(F41-F59)^2+(G41-G59)^2+(H41-H59)^2+(I41-I59)^2+(J41-J59)^2+(K41-K59)^2+(L41-L59)^2)),IF(C71=2,MIN(SQRT((C41-C57)^2+(D41-D57)^2+(E41-E57)^2+(F41-F57)^2+(G41-G57)^2+(H41-H57)^2+(I41-I57)^2+(J41-J57)^2+(K41-K57)^2+(L41-L57)^2),SQRT((C41-C59)^2+(D41-D59)^2+(E41-E59)^2+(F41-F59)^2+(G41-G59)^2+(H41-H59)^2+(I41-I59)^2+(J41-J59)^2+(K41-K59)^2+(L41-L59)^2)),MIN(SQRT((C41-C57)^2+(D41-D57)^2+(E41-E57)^2+(F41-F57)^2+(G41-G57)^2+(H41-H57)^2+(I41-I57)^2+(J41-J57)^2+(K41-K57)^2+(L41-L57)^2),SQRT((C41-C58)^2+(D41-D58)^2+(E41-E58)^2+(F41-F58)^2+(G41-G58)^2+(H41-H58)^2+(I41-I58)^2+(J41-J58)^2+(K41-K58)^2+(L41-L58)^2))))</f>
        <v>1.4035949688158527</v>
      </c>
      <c r="F71" s="49">
        <f t="shared" si="30"/>
        <v>0.74153498598136391</v>
      </c>
      <c r="G71" s="50" t="str">
        <f t="shared" si="31"/>
        <v>Sangat Baik</v>
      </c>
    </row>
    <row r="72" spans="1:17" ht="15" customHeight="1" x14ac:dyDescent="0.25">
      <c r="A72" s="45">
        <f t="shared" si="28"/>
        <v>4</v>
      </c>
      <c r="B72" s="46" t="str">
        <f t="shared" si="28"/>
        <v>Candi Mendut</v>
      </c>
      <c r="C72" s="47">
        <f t="shared" si="29"/>
        <v>3</v>
      </c>
      <c r="D72" s="48">
        <f>IF(C72=1,SQRT((C42-C57)^2+(D42-D57)^2+(E42-E57)^2+(F42-F57)^2+(G42-G57)^2+(H42-H57)^2+(I42-I57)^2+(J42-J57)^2+(K42-K57)^2+(L42-L57)^2),IF(C72=2,SQRT((C42-C58)^2+(D42-D58)^2+(E42-E58)^2+(F42-F58)^2+(G42-G58)^2+(H42-H58)^2+(I42-I58)^2+(J42-J58)^2+(K42-K58)^2+(L42-L58)^2),SQRT((C42-C59)^2+(D42-D59)^2+(E42-E59)^2+(F42-F59)^2+(G42-G59)^2+(H42-H59)^2+(I42-I59)^2+(J42-J59)^2+(K42-K59)^2+(L42-L59)^2)))</f>
        <v>0.34478079496355146</v>
      </c>
      <c r="E72" s="48">
        <f>IF(C72=1,MIN(SQRT((C42-C58)^2+(D42-D58)^2+(E42-E58)^2+(F42-F58)^2+(G42-G58)^2+(H42-H58)^2+(I42-I58)^2+(J42-J58)^2+(K42-K58)^2+(L42-L58)^2),SQRT((C42-C59)^2+(D42-D59)^2+(E42-E59)^2+(F42-F59)^2+(G42-G59)^2+(H42-H59)^2+(I42-I59)^2+(J42-J59)^2+(K42-K59)^2+(L42-L59)^2)),IF(C72=2,MIN(SQRT((C42-C57)^2+(D42-D57)^2+(E42-E57)^2+(F42-F57)^2+(G42-G57)^2+(H42-H57)^2+(I42-I57)^2+(J42-J57)^2+(K42-K57)^2+(L42-L57)^2),SQRT((C42-C59)^2+(D42-D59)^2+(E42-E59)^2+(F42-F59)^2+(G42-G59)^2+(H42-H59)^2+(I42-I59)^2+(J42-J59)^2+(K42-K59)^2+(L42-L59)^2)),MIN(SQRT((C42-C57)^2+(D42-D57)^2+(E42-E57)^2+(F42-F57)^2+(G42-G57)^2+(H42-H57)^2+(I42-I57)^2+(J42-J57)^2+(K42-K57)^2+(L42-L57)^2),SQRT((C42-C58)^2+(D42-D58)^2+(E42-E58)^2+(F42-F58)^2+(G42-G58)^2+(H42-H58)^2+(I42-I58)^2+(J42-J58)^2+(K42-K58)^2+(L42-L58)^2))))</f>
        <v>1.4476874249863023</v>
      </c>
      <c r="F72" s="49">
        <f t="shared" si="30"/>
        <v>0.76184030543277415</v>
      </c>
      <c r="G72" s="50" t="str">
        <f t="shared" si="31"/>
        <v>Sangat Baik</v>
      </c>
    </row>
    <row r="73" spans="1:17" ht="15" customHeight="1" x14ac:dyDescent="0.25">
      <c r="A73" s="45">
        <f t="shared" si="28"/>
        <v>5</v>
      </c>
      <c r="B73" s="46" t="str">
        <f t="shared" si="28"/>
        <v>Ketep Pass</v>
      </c>
      <c r="C73" s="47">
        <f t="shared" si="29"/>
        <v>2</v>
      </c>
      <c r="D73" s="48">
        <f>IF(C73=1,SQRT((C43-C57)^2+(D43-D57)^2+(E43-E57)^2+(F43-F57)^2+(G43-G57)^2+(H43-H57)^2+(I43-I57)^2+(J43-J57)^2+(K43-K57)^2+(L43-L57)^2),IF(C73=2,SQRT((C43-C58)^2+(D43-D58)^2+(E43-E58)^2+(F43-F58)^2+(G43-G58)^2+(H43-H58)^2+(I43-I58)^2+(J43-J58)^2+(K43-K58)^2+(L43-L58)^2),SQRT((C43-C59)^2+(D43-D59)^2+(E43-E59)^2+(F43-F59)^2+(G43-G59)^2+(H43-H59)^2+(I43-I59)^2+(J43-J59)^2+(K43-K59)^2+(L43-L59)^2)))</f>
        <v>0.82773776632080598</v>
      </c>
      <c r="E73" s="48">
        <f>IF(C73=1,MIN(SQRT((C43-C58)^2+(D43-D58)^2+(E43-E58)^2+(F43-F58)^2+(G43-G58)^2+(H43-H58)^2+(I43-I58)^2+(J43-J58)^2+(K43-K58)^2+(L43-L58)^2),SQRT((C43-C59)^2+(D43-D59)^2+(E43-E59)^2+(F43-F59)^2+(G43-G59)^2+(H43-H59)^2+(I43-I59)^2+(J43-J59)^2+(K43-K59)^2+(L43-L59)^2)),IF(C73=2,MIN(SQRT((C43-C57)^2+(D43-D57)^2+(E43-E57)^2+(F43-F57)^2+(G43-G57)^2+(H43-H57)^2+(I43-I57)^2+(J43-J57)^2+(K43-K57)^2+(L43-L57)^2),SQRT((C43-C59)^2+(D43-D59)^2+(E43-E59)^2+(F43-F59)^2+(G43-G59)^2+(H43-H59)^2+(I43-I59)^2+(J43-J59)^2+(K43-K59)^2+(L43-L59)^2)),MIN(SQRT((C43-C57)^2+(D43-D57)^2+(E43-E57)^2+(F43-F57)^2+(G43-G57)^2+(H43-H57)^2+(I43-I57)^2+(J43-J57)^2+(K43-K57)^2+(L43-L57)^2),SQRT((C43-C58)^2+(D43-D58)^2+(E43-E58)^2+(F43-F58)^2+(G43-G58)^2+(H43-H58)^2+(I43-I58)^2+(J43-J58)^2+(K43-K58)^2+(L43-L58)^2))))</f>
        <v>0.84566051813304</v>
      </c>
      <c r="F73" s="49">
        <f t="shared" si="30"/>
        <v>2.1193790448916755E-2</v>
      </c>
      <c r="G73" s="50" t="str">
        <f t="shared" si="31"/>
        <v>Salah Klaster</v>
      </c>
    </row>
    <row r="74" spans="1:17" ht="15" customHeight="1" x14ac:dyDescent="0.25">
      <c r="A74" s="45">
        <f t="shared" si="28"/>
        <v>6</v>
      </c>
      <c r="B74" s="46" t="str">
        <f t="shared" si="28"/>
        <v>Kopeng</v>
      </c>
      <c r="C74" s="47">
        <f t="shared" si="29"/>
        <v>2</v>
      </c>
      <c r="D74" s="48">
        <f>IF(C74=1,SQRT((C44-C57)^2+(D44-D57)^2+(E44-E57)^2+(F44-F57)^2+(G44-G57)^2+(H44-H57)^2+(I44-I57)^2+(J44-J57)^2+(K44-K57)^2+(L44-L57)^2),IF(C74=2,SQRT((C44-C58)^2+(D44-D58)^2+(E44-E58)^2+(F44-F58)^2+(G44-G58)^2+(H44-H58)^2+(I44-I58)^2+(J44-J58)^2+(K44-K58)^2+(L44-L58)^2),SQRT((C44-C59)^2+(D44-D59)^2+(E44-E59)^2+(F44-F59)^2+(G44-G59)^2+(H44-H59)^2+(I44-I59)^2+(J44-J59)^2+(K44-K59)^2+(L44-L59)^2)))</f>
        <v>0.93113713735560311</v>
      </c>
      <c r="E74" s="48">
        <f>IF(C74=1,MIN(SQRT((C44-C58)^2+(D44-D58)^2+(E44-E58)^2+(F44-F58)^2+(G44-G58)^2+(H44-H58)^2+(I44-I58)^2+(J44-J58)^2+(K44-K58)^2+(L44-L58)^2),SQRT((C44-C59)^2+(D44-D59)^2+(E44-E59)^2+(F44-F59)^2+(G44-G59)^2+(H44-H59)^2+(I44-I59)^2+(J44-J59)^2+(K44-K59)^2+(L44-L59)^2)),IF(C74=2,MIN(SQRT((C44-C57)^2+(D44-D57)^2+(E44-E57)^2+(F44-F57)^2+(G44-G57)^2+(H44-H57)^2+(I44-I57)^2+(J44-J57)^2+(K44-K57)^2+(L44-L57)^2),SQRT((C44-C59)^2+(D44-D59)^2+(E44-E59)^2+(F44-F59)^2+(G44-G59)^2+(H44-H59)^2+(I44-I59)^2+(J44-J59)^2+(K44-K59)^2+(L44-L59)^2)),MIN(SQRT((C44-C57)^2+(D44-D57)^2+(E44-E57)^2+(F44-F57)^2+(G44-G57)^2+(H44-H57)^2+(I44-I57)^2+(J44-J57)^2+(K44-K57)^2+(L44-L57)^2),SQRT((C44-C58)^2+(D44-D58)^2+(E44-E58)^2+(F44-F58)^2+(G44-G58)^2+(H44-H58)^2+(I44-I58)^2+(J44-J58)^2+(K44-K58)^2+(L44-L58)^2))))</f>
        <v>1.5146217790584626</v>
      </c>
      <c r="F74" s="49">
        <f t="shared" si="30"/>
        <v>0.38523455147038244</v>
      </c>
      <c r="G74" s="50" t="str">
        <f t="shared" si="31"/>
        <v>Lemah</v>
      </c>
    </row>
    <row r="75" spans="1:17" ht="15" customHeight="1" x14ac:dyDescent="0.25">
      <c r="A75" s="45">
        <f t="shared" si="28"/>
        <v>7</v>
      </c>
      <c r="B75" s="46" t="str">
        <f t="shared" si="28"/>
        <v>Air Terjun Kedung Kayang</v>
      </c>
      <c r="C75" s="47">
        <f t="shared" si="29"/>
        <v>2</v>
      </c>
      <c r="D75" s="48">
        <f>IF(C75=1,SQRT((C45-C57)^2+(D45-D57)^2+(E45-E57)^2+(F45-F57)^2+(G45-G57)^2+(H45-H57)^2+(I45-I57)^2+(J45-J57)^2+(K45-K57)^2+(L45-L57)^2),IF(C75=2,SQRT((C45-C58)^2+(D45-D58)^2+(E45-E58)^2+(F45-F58)^2+(G45-G58)^2+(H45-H58)^2+(I45-I58)^2+(J45-J58)^2+(K45-K58)^2+(L45-L58)^2),SQRT((C45-C59)^2+(D45-D59)^2+(E45-E59)^2+(F45-F59)^2+(G45-G59)^2+(H45-H59)^2+(I45-I59)^2+(J45-J59)^2+(K45-K59)^2+(L45-L59)^2)))</f>
        <v>0.448095960584736</v>
      </c>
      <c r="E75" s="48">
        <f>IF(C75=1,MIN(SQRT((C45-C58)^2+(D45-D58)^2+(E45-E58)^2+(F45-F58)^2+(G45-G58)^2+(H45-H58)^2+(I45-I58)^2+(J45-J58)^2+(K45-K58)^2+(L45-L58)^2),SQRT((C45-C59)^2+(D45-D59)^2+(E45-E59)^2+(F45-F59)^2+(G45-G59)^2+(H45-H59)^2+(I45-I59)^2+(J45-J59)^2+(K45-K59)^2+(L45-L59)^2)),IF(C75=2,MIN(SQRT((C45-C57)^2+(D45-D57)^2+(E45-E57)^2+(F45-F57)^2+(G45-G57)^2+(H45-H57)^2+(I45-I57)^2+(J45-J57)^2+(K45-K57)^2+(L45-L57)^2),SQRT((C45-C59)^2+(D45-D59)^2+(E45-E59)^2+(F45-F59)^2+(G45-G59)^2+(H45-H59)^2+(I45-I59)^2+(J45-J59)^2+(K45-K59)^2+(L45-L59)^2)),MIN(SQRT((C45-C57)^2+(D45-D57)^2+(E45-E57)^2+(F45-F57)^2+(G45-G57)^2+(H45-H57)^2+(I45-I57)^2+(J45-J57)^2+(K45-K57)^2+(L45-L57)^2),SQRT((C45-C58)^2+(D45-D58)^2+(E45-E58)^2+(F45-F58)^2+(G45-G58)^2+(H45-H58)^2+(I45-I58)^2+(J45-J58)^2+(K45-K58)^2+(L45-L58)^2))))</f>
        <v>1.3009661721780479</v>
      </c>
      <c r="F75" s="49">
        <f t="shared" si="30"/>
        <v>0.65556678554174552</v>
      </c>
      <c r="G75" s="50" t="str">
        <f t="shared" si="31"/>
        <v>Baik</v>
      </c>
    </row>
    <row r="76" spans="1:17" ht="15" customHeight="1" x14ac:dyDescent="0.25">
      <c r="A76" s="45">
        <f t="shared" si="28"/>
        <v>8</v>
      </c>
      <c r="B76" s="46" t="str">
        <f t="shared" si="28"/>
        <v>Telaga Bleder</v>
      </c>
      <c r="C76" s="47">
        <f t="shared" si="29"/>
        <v>2</v>
      </c>
      <c r="D76" s="48">
        <f>IF(C76=1,SQRT((C46-C57)^2+(D46-D57)^2+(E46-E57)^2+(F46-F57)^2+(G46-G57)^2+(H46-H57)^2+(I46-I57)^2+(J46-J57)^2+(K46-K57)^2+(L46-L57)^2),IF(C76=2,SQRT((C46-C58)^2+(D46-D58)^2+(E46-E58)^2+(F46-F58)^2+(G46-G58)^2+(H46-H58)^2+(I46-I58)^2+(J46-J58)^2+(K46-K58)^2+(L46-L58)^2),SQRT((C46-C59)^2+(D46-D59)^2+(E46-E59)^2+(F46-F59)^2+(G46-G59)^2+(H46-H59)^2+(I46-I59)^2+(J46-J59)^2+(K46-K59)^2+(L46-L59)^2)))</f>
        <v>0.51589915189981128</v>
      </c>
      <c r="E76" s="48">
        <f>IF(C76=1,MIN(SQRT((C46-C58)^2+(D46-D58)^2+(E46-E58)^2+(F46-F58)^2+(G46-G58)^2+(H46-H58)^2+(I46-I58)^2+(J46-J58)^2+(K46-K58)^2+(L46-L58)^2),SQRT((C46-C59)^2+(D46-D59)^2+(E46-E59)^2+(F46-F59)^2+(G46-G59)^2+(H46-H59)^2+(I46-I59)^2+(J46-J59)^2+(K46-K59)^2+(L46-L59)^2)),IF(C76=2,MIN(SQRT((C46-C57)^2+(D46-D57)^2+(E46-E57)^2+(F46-F57)^2+(G46-G57)^2+(H46-H57)^2+(I46-I57)^2+(J46-J57)^2+(K46-K57)^2+(L46-L57)^2),SQRT((C46-C59)^2+(D46-D59)^2+(E46-E59)^2+(F46-F59)^2+(G46-G59)^2+(H46-H59)^2+(I46-I59)^2+(J46-J59)^2+(K46-K59)^2+(L46-L59)^2)),MIN(SQRT((C46-C57)^2+(D46-D57)^2+(E46-E57)^2+(F46-F57)^2+(G46-G57)^2+(H46-H57)^2+(I46-I57)^2+(J46-J57)^2+(K46-K57)^2+(L46-L57)^2),SQRT((C46-C58)^2+(D46-D58)^2+(E46-E58)^2+(F46-F58)^2+(G46-G58)^2+(H46-H58)^2+(I46-I58)^2+(J46-J58)^2+(K46-K58)^2+(L46-L58)^2))))</f>
        <v>1.3453148948411631</v>
      </c>
      <c r="F76" s="49">
        <f t="shared" si="30"/>
        <v>0.61652163825873507</v>
      </c>
      <c r="G76" s="50" t="str">
        <f t="shared" si="31"/>
        <v>Baik</v>
      </c>
    </row>
    <row r="77" spans="1:17" ht="15" customHeight="1" x14ac:dyDescent="0.25">
      <c r="A77" s="45">
        <f t="shared" si="28"/>
        <v>9</v>
      </c>
      <c r="B77" s="46" t="str">
        <f t="shared" si="28"/>
        <v>Bukit Rhema (Gereja Ayam)</v>
      </c>
      <c r="C77" s="47">
        <f t="shared" si="29"/>
        <v>3</v>
      </c>
      <c r="D77" s="48">
        <f>IF(C77=1,SQRT((C47-C57)^2+(D47-D57)^2+(E47-E57)^2+(F47-F57)^2+(G47-G57)^2+(H47-H57)^2+(I47-I57)^2+(J47-J57)^2+(K47-K57)^2+(L47-L57)^2),IF(C77=2,SQRT((C47-C58)^2+(D47-D58)^2+(E47-E58)^2+(F47-F58)^2+(G47-G58)^2+(H47-H58)^2+(I47-I58)^2+(J47-J58)^2+(K47-K58)^2+(L47-L58)^2),SQRT((C47-C59)^2+(D47-D59)^2+(E47-E59)^2+(F47-F59)^2+(G47-G59)^2+(H47-H59)^2+(I47-I59)^2+(J47-J59)^2+(K47-K59)^2+(L47-L59)^2)))</f>
        <v>0.77581573210095101</v>
      </c>
      <c r="E77" s="48">
        <f>IF(C77=1,MIN(SQRT((C47-C58)^2+(D47-D58)^2+(E47-E58)^2+(F47-F58)^2+(G47-G58)^2+(H47-H58)^2+(I47-I58)^2+(J47-J58)^2+(K47-K58)^2+(L47-L58)^2),SQRT((C47-C59)^2+(D47-D59)^2+(E47-E59)^2+(F47-F59)^2+(G47-G59)^2+(H47-H59)^2+(I47-I59)^2+(J47-J59)^2+(K47-K59)^2+(L47-L59)^2)),IF(C77=2,MIN(SQRT((C47-C57)^2+(D47-D57)^2+(E47-E57)^2+(F47-F57)^2+(G47-G57)^2+(H47-H57)^2+(I47-I57)^2+(J47-J57)^2+(K47-K57)^2+(L47-L57)^2),SQRT((C47-C59)^2+(D47-D59)^2+(E47-E59)^2+(F47-F59)^2+(G47-G59)^2+(H47-H59)^2+(I47-I59)^2+(J47-J59)^2+(K47-K59)^2+(L47-L59)^2)),MIN(SQRT((C47-C57)^2+(D47-D57)^2+(E47-E57)^2+(F47-F57)^2+(G47-G57)^2+(H47-H57)^2+(I47-I57)^2+(J47-J57)^2+(K47-K57)^2+(L47-L57)^2),SQRT((C47-C58)^2+(D47-D58)^2+(E47-E58)^2+(F47-F58)^2+(G47-G58)^2+(H47-H58)^2+(I47-I58)^2+(J47-J58)^2+(K47-K58)^2+(L47-L58)^2))))</f>
        <v>1.0417202898073483</v>
      </c>
      <c r="F77" s="49">
        <f t="shared" si="30"/>
        <v>0.25525523531424416</v>
      </c>
      <c r="G77" s="50" t="str">
        <f t="shared" si="31"/>
        <v>Lemah</v>
      </c>
    </row>
    <row r="78" spans="1:17" ht="15" customHeight="1" x14ac:dyDescent="0.25">
      <c r="A78" s="45">
        <f t="shared" si="28"/>
        <v>10</v>
      </c>
      <c r="B78" s="46" t="str">
        <f t="shared" si="28"/>
        <v>Sawah Sukomakmur</v>
      </c>
      <c r="C78" s="47">
        <f t="shared" si="29"/>
        <v>2</v>
      </c>
      <c r="D78" s="48">
        <f>IF(C78=1,SQRT((C48-C57)^2+(D48-D57)^2+(E48-E57)^2+(F48-F57)^2+(G48-G57)^2+(H48-H57)^2+(I48-I57)^2+(J48-J57)^2+(K48-K57)^2+(L48-L57)^2),IF(C78=2,SQRT((C48-C58)^2+(D48-D58)^2+(E48-E58)^2+(F48-F58)^2+(G48-G58)^2+(H48-H58)^2+(I48-I58)^2+(J48-J58)^2+(K48-K58)^2+(L48-L58)^2),SQRT((C48-C59)^2+(D48-D59)^2+(E48-E59)^2+(F48-F59)^2+(G48-G59)^2+(H48-H59)^2+(I48-I59)^2+(J48-J59)^2+(K48-K59)^2+(L48-L59)^2)))</f>
        <v>0.54919201601264234</v>
      </c>
      <c r="E78" s="48">
        <f>IF(C78=1,MIN(SQRT((C48-C58)^2+(D48-D58)^2+(E48-E58)^2+(F48-F58)^2+(G48-G58)^2+(H48-H58)^2+(I48-I58)^2+(J48-J58)^2+(K48-K58)^2+(L48-L58)^2),SQRT((C48-C59)^2+(D48-D59)^2+(E48-E59)^2+(F48-F59)^2+(G48-G59)^2+(H48-H59)^2+(I48-I59)^2+(J48-J59)^2+(K48-K59)^2+(L48-L59)^2)),IF(C78=2,MIN(SQRT((C48-C57)^2+(D48-D57)^2+(E48-E57)^2+(F48-F57)^2+(G48-G57)^2+(H48-H57)^2+(I48-I57)^2+(J48-J57)^2+(K48-K57)^2+(L48-L57)^2),SQRT((C48-C59)^2+(D48-D59)^2+(E48-E59)^2+(F48-F59)^2+(G48-G59)^2+(H48-H59)^2+(I48-I59)^2+(J48-J59)^2+(K48-K59)^2+(L48-L59)^2)),MIN(SQRT((C48-C57)^2+(D48-D57)^2+(E48-E57)^2+(F48-F57)^2+(G48-G57)^2+(H48-H57)^2+(I48-I57)^2+(J48-J57)^2+(K48-K57)^2+(L48-L57)^2),SQRT((C48-C58)^2+(D48-D58)^2+(E48-E58)^2+(F48-F58)^2+(G48-G58)^2+(H48-H58)^2+(I48-I58)^2+(J48-J58)^2+(K48-K58)^2+(L48-L58)^2))))</f>
        <v>1.1544963621287927</v>
      </c>
      <c r="F78" s="49">
        <f t="shared" si="30"/>
        <v>0.52430164872933926</v>
      </c>
      <c r="G78" s="50" t="str">
        <f t="shared" si="31"/>
        <v>Baik</v>
      </c>
    </row>
    <row r="79" spans="1:17" ht="15" customHeight="1" x14ac:dyDescent="0.25">
      <c r="A79" s="45">
        <f t="shared" si="28"/>
        <v>11</v>
      </c>
      <c r="B79" s="46" t="str">
        <f t="shared" si="28"/>
        <v>Museum Karmawibhangga</v>
      </c>
      <c r="C79" s="47">
        <f t="shared" si="29"/>
        <v>3</v>
      </c>
      <c r="D79" s="48">
        <f>IF(C79=1,SQRT((C49-C57)^2+(D49-D57)^2+(E49-E57)^2+(F49-F57)^2+(G49-G57)^2+(H49-H57)^2+(I49-I57)^2+(J49-J57)^2+(K49-K57)^2+(L49-L57)^2),IF(C79=2,SQRT((C49-C58)^2+(D49-D58)^2+(E49-E58)^2+(F49-F58)^2+(G49-G58)^2+(H49-H58)^2+(I49-I58)^2+(J49-J58)^2+(K49-K58)^2+(L49-L58)^2),SQRT((C49-C59)^2+(D49-D59)^2+(E49-E59)^2+(F49-F59)^2+(G49-G59)^2+(H49-H59)^2+(I49-I59)^2+(J49-J59)^2+(K49-K59)^2+(L49-L59)^2)))</f>
        <v>0.72517483663866145</v>
      </c>
      <c r="E79" s="48">
        <f>IF(C79=1,MIN(SQRT((C49-C58)^2+(D49-D58)^2+(E49-E58)^2+(F49-F58)^2+(G49-G58)^2+(H49-H58)^2+(I49-I58)^2+(J49-J58)^2+(K49-K58)^2+(L49-L58)^2),SQRT((C49-C59)^2+(D49-D59)^2+(E49-E59)^2+(F49-F59)^2+(G49-G59)^2+(H49-H59)^2+(I49-I59)^2+(J49-J59)^2+(K49-K59)^2+(L49-L59)^2)),IF(C79=2,MIN(SQRT((C49-C57)^2+(D49-D57)^2+(E49-E57)^2+(F49-F57)^2+(G49-G57)^2+(H49-H57)^2+(I49-I57)^2+(J49-J57)^2+(K49-K57)^2+(L49-L57)^2),SQRT((C49-C59)^2+(D49-D59)^2+(E49-E59)^2+(F49-F59)^2+(G49-G59)^2+(H49-H59)^2+(I49-I59)^2+(J49-J59)^2+(K49-K59)^2+(L49-L59)^2)),MIN(SQRT((C49-C57)^2+(D49-D57)^2+(E49-E57)^2+(F49-F57)^2+(G49-G57)^2+(H49-H57)^2+(I49-I57)^2+(J49-J57)^2+(K49-K57)^2+(L49-L57)^2),SQRT((C49-C58)^2+(D49-D58)^2+(E49-E58)^2+(F49-F58)^2+(G49-G58)^2+(H49-H58)^2+(I49-I58)^2+(J49-J58)^2+(K49-K58)^2+(L49-L58)^2))))</f>
        <v>1.7333118252596373</v>
      </c>
      <c r="F79" s="49">
        <f t="shared" si="30"/>
        <v>0.58162471052775766</v>
      </c>
      <c r="G79" s="50" t="str">
        <f t="shared" si="31"/>
        <v>Baik</v>
      </c>
    </row>
    <row r="80" spans="1:17" ht="15" customHeight="1" x14ac:dyDescent="0.25">
      <c r="A80" s="45">
        <f t="shared" si="28"/>
        <v>12</v>
      </c>
      <c r="B80" s="46" t="str">
        <f t="shared" si="28"/>
        <v>Taman Kyai Langgeng</v>
      </c>
      <c r="C80" s="47">
        <f t="shared" si="29"/>
        <v>3</v>
      </c>
      <c r="D80" s="48">
        <f>IF(C80=1,SQRT((C50-C57)^2+(D50-D57)^2+(E50-E57)^2+(F50-F57)^2+(G50-G57)^2+(H50-H57)^2+(I50-I57)^2+(J50-J57)^2+(K50-K57)^2+(L50-L57)^2),IF(C80=2,SQRT((C50-C58)^2+(D50-D58)^2+(E50-E58)^2+(F50-F58)^2+(G50-G58)^2+(H50-H58)^2+(I50-I58)^2+(J50-J58)^2+(K50-K58)^2+(L50-L58)^2),SQRT((C50-C59)^2+(D50-D59)^2+(E50-E59)^2+(F50-F59)^2+(G50-G59)^2+(H50-H59)^2+(I50-I59)^2+(J50-J59)^2+(K50-K59)^2+(L50-L59)^2)))</f>
        <v>0.84880790383720495</v>
      </c>
      <c r="E80" s="48">
        <f>IF(C80=1,MIN(SQRT((C50-C58)^2+(D50-D58)^2+(E50-E58)^2+(F50-F58)^2+(G50-G58)^2+(H50-H58)^2+(I50-I58)^2+(J50-J58)^2+(K50-K58)^2+(L50-L58)^2),SQRT((C50-C59)^2+(D50-D59)^2+(E50-E59)^2+(F50-F59)^2+(G50-G59)^2+(H50-H59)^2+(I50-I59)^2+(J50-J59)^2+(K50-K59)^2+(L50-L59)^2)),IF(C80=2,MIN(SQRT((C50-C57)^2+(D50-D57)^2+(E50-E57)^2+(F50-F57)^2+(G50-G57)^2+(H50-H57)^2+(I50-I57)^2+(J50-J57)^2+(K50-K57)^2+(L50-L57)^2),SQRT((C50-C59)^2+(D50-D59)^2+(E50-E59)^2+(F50-F59)^2+(G50-G59)^2+(H50-H59)^2+(I50-I59)^2+(J50-J59)^2+(K50-K59)^2+(L50-L59)^2)),MIN(SQRT((C50-C57)^2+(D50-D57)^2+(E50-E57)^2+(F50-F57)^2+(G50-G57)^2+(H50-H57)^2+(I50-I57)^2+(J50-J57)^2+(K50-K57)^2+(L50-L57)^2),SQRT((C50-C58)^2+(D50-D58)^2+(E50-E58)^2+(F50-F58)^2+(G50-G58)^2+(H50-H58)^2+(I50-I58)^2+(J50-J58)^2+(K50-K58)^2+(L50-L58)^2))))</f>
        <v>1.2720467865881915</v>
      </c>
      <c r="F80" s="49">
        <f t="shared" si="30"/>
        <v>0.3327227325389287</v>
      </c>
      <c r="G80" s="50" t="str">
        <f t="shared" si="31"/>
        <v>Lemah</v>
      </c>
    </row>
    <row r="81" spans="1:17" ht="15" customHeight="1" x14ac:dyDescent="0.25">
      <c r="A81" s="45">
        <f t="shared" si="28"/>
        <v>13</v>
      </c>
      <c r="B81" s="46" t="str">
        <f t="shared" si="28"/>
        <v>Gunung Andong</v>
      </c>
      <c r="C81" s="47">
        <f t="shared" si="29"/>
        <v>2</v>
      </c>
      <c r="D81" s="48">
        <f>IF(C81=1,SQRT((C51-C57)^2+(D51-D57)^2+(E51-E57)^2+(F51-F57)^2+(G51-G57)^2+(H51-H57)^2+(I51-I57)^2+(J51-J57)^2+(K51-K57)^2+(L51-L57)^2),IF(C81=2,SQRT((C51-C58)^2+(D51-D58)^2+(E51-E58)^2+(F51-F58)^2+(G51-G58)^2+(H51-H58)^2+(I51-I58)^2+(J51-J58)^2+(K51-K58)^2+(L51-L58)^2),SQRT((C51-C59)^2+(D51-D59)^2+(E51-E59)^2+(F51-F59)^2+(G51-G59)^2+(H51-H59)^2+(I51-I59)^2+(J51-J59)^2+(K51-K59)^2+(L51-L59)^2)))</f>
        <v>0.68896040816958615</v>
      </c>
      <c r="E81" s="48">
        <f>IF(C81=1,MIN(SQRT((C51-C58)^2+(D51-D58)^2+(E51-E58)^2+(F51-F58)^2+(G51-G58)^2+(H51-H58)^2+(I51-I58)^2+(J51-J58)^2+(K51-K58)^2+(L51-L58)^2),SQRT((C51-C59)^2+(D51-D59)^2+(E51-E59)^2+(F51-F59)^2+(G51-G59)^2+(H51-H59)^2+(I51-I59)^2+(J51-J59)^2+(K51-K59)^2+(L51-L59)^2)),IF(C81=2,MIN(SQRT((C51-C57)^2+(D51-D57)^2+(E51-E57)^2+(F51-F57)^2+(G51-G57)^2+(H51-H57)^2+(I51-I57)^2+(J51-J57)^2+(K51-K57)^2+(L51-L57)^2),SQRT((C51-C59)^2+(D51-D59)^2+(E51-E59)^2+(F51-F59)^2+(G51-G59)^2+(H51-H59)^2+(I51-I59)^2+(J51-J59)^2+(K51-K59)^2+(L51-L59)^2)),MIN(SQRT((C51-C57)^2+(D51-D57)^2+(E51-E57)^2+(F51-F57)^2+(G51-G57)^2+(H51-H57)^2+(I51-I57)^2+(J51-J57)^2+(K51-K57)^2+(L51-L57)^2),SQRT((C51-C58)^2+(D51-D58)^2+(E51-E58)^2+(F51-F58)^2+(G51-G58)^2+(H51-H58)^2+(I51-I58)^2+(J51-J58)^2+(K51-K58)^2+(L51-L58)^2))))</f>
        <v>1.748283929977102</v>
      </c>
      <c r="F81" s="49">
        <f t="shared" si="30"/>
        <v>0.60592190069572405</v>
      </c>
      <c r="G81" s="50" t="str">
        <f t="shared" si="31"/>
        <v>Baik</v>
      </c>
    </row>
    <row r="82" spans="1:17" ht="15" customHeight="1" x14ac:dyDescent="0.25">
      <c r="A82" s="45">
        <f t="shared" si="28"/>
        <v>14</v>
      </c>
      <c r="B82" s="46" t="str">
        <f t="shared" si="28"/>
        <v>Umbul Songo</v>
      </c>
      <c r="C82" s="47">
        <f t="shared" si="29"/>
        <v>2</v>
      </c>
      <c r="D82" s="48">
        <f>IF(C82=1,SQRT((C52-C57)^2+(D52-D57)^2+(E52-E57)^2+(F52-F57)^2+(G52-G57)^2+(H52-H57)^2+(I52-I57)^2+(J52-J57)^2+(K52-K57)^2+(L52-L57)^2),IF(C82=2,SQRT((C52-C58)^2+(D52-D58)^2+(E52-E58)^2+(F52-F58)^2+(G52-G58)^2+(H52-H58)^2+(I52-I58)^2+(J52-J58)^2+(K52-K58)^2+(L52-L58)^2),SQRT((C52-C59)^2+(D52-D59)^2+(E52-E59)^2+(F52-F59)^2+(G52-G59)^2+(H52-H59)^2+(I52-I59)^2+(J52-J59)^2+(K52-K59)^2+(L52-L59)^2)))</f>
        <v>0.70196691967897962</v>
      </c>
      <c r="E82" s="48">
        <f>IF(C82=1,MIN(SQRT((C52-C58)^2+(D52-D58)^2+(E52-E58)^2+(F52-F58)^2+(G52-G58)^2+(H52-H58)^2+(I52-I58)^2+(J52-J58)^2+(K52-K58)^2+(L52-L58)^2),SQRT((C52-C59)^2+(D52-D59)^2+(E52-E59)^2+(F52-F59)^2+(G52-G59)^2+(H52-H59)^2+(I52-I59)^2+(J52-J59)^2+(K52-K59)^2+(L52-L59)^2)),IF(C82=2,MIN(SQRT((C52-C57)^2+(D52-D57)^2+(E52-E57)^2+(F52-F57)^2+(G52-G57)^2+(H52-H57)^2+(I52-I57)^2+(J52-J57)^2+(K52-K57)^2+(L52-L57)^2),SQRT((C52-C59)^2+(D52-D59)^2+(E52-E59)^2+(F52-F59)^2+(G52-G59)^2+(H52-H59)^2+(I52-I59)^2+(J52-J59)^2+(K52-K59)^2+(L52-L59)^2)),MIN(SQRT((C52-C57)^2+(D52-D57)^2+(E52-E57)^2+(F52-F57)^2+(G52-G57)^2+(H52-H57)^2+(I52-I57)^2+(J52-J57)^2+(K52-K57)^2+(L52-L57)^2),SQRT((C52-C58)^2+(D52-D58)^2+(E52-E58)^2+(F52-F58)^2+(G52-G58)^2+(H52-H58)^2+(I52-I58)^2+(J52-J58)^2+(K52-K58)^2+(L52-L58)^2))))</f>
        <v>1.7417013484626336</v>
      </c>
      <c r="F82" s="49">
        <f t="shared" si="30"/>
        <v>0.59696481816552982</v>
      </c>
      <c r="G82" s="50" t="str">
        <f t="shared" si="31"/>
        <v>Baik</v>
      </c>
    </row>
    <row r="83" spans="1:17" ht="15" customHeight="1" x14ac:dyDescent="0.25">
      <c r="A83" s="45">
        <f t="shared" si="28"/>
        <v>15</v>
      </c>
      <c r="B83" s="46" t="str">
        <f t="shared" si="28"/>
        <v>Puthuk Mongkrong</v>
      </c>
      <c r="C83" s="47">
        <f t="shared" si="29"/>
        <v>2</v>
      </c>
      <c r="D83" s="48">
        <f>IF(C83=1,SQRT((C53-C57)^2+(D53-D57)^2+(E53-E57)^2+(F53-F57)^2+(G53-G57)^2+(H53-H57)^2+(I53-I57)^2+(J53-J57)^2+(K53-K57)^2+(L53-L57)^2),IF(C83=2,SQRT((C53-C58)^2+(D53-D58)^2+(E53-E58)^2+(F53-F58)^2+(G53-G58)^2+(H53-H58)^2+(I53-I58)^2+(J53-J58)^2+(K53-K58)^2+(L53-L58)^2),SQRT((C53-C59)^2+(D53-D59)^2+(E53-E59)^2+(F53-F59)^2+(G53-G59)^2+(H53-H59)^2+(I53-I59)^2+(J53-J59)^2+(K53-K59)^2+(L53-L59)^2)))</f>
        <v>0.98580706344418201</v>
      </c>
      <c r="E83" s="48">
        <f>IF(C83=1,MIN(SQRT((C53-C58)^2+(D53-D58)^2+(E53-E58)^2+(F53-F58)^2+(G53-G58)^2+(H53-H58)^2+(I53-I58)^2+(J53-J58)^2+(K53-K58)^2+(L53-L58)^2),SQRT((C53-C59)^2+(D53-D59)^2+(E53-E59)^2+(F53-F59)^2+(G53-G59)^2+(H53-H59)^2+(I53-I59)^2+(J53-J59)^2+(K53-K59)^2+(L53-L59)^2)),IF(C83=2,MIN(SQRT((C53-C57)^2+(D53-D57)^2+(E53-E57)^2+(F53-F57)^2+(G53-G57)^2+(H53-H57)^2+(I53-I57)^2+(J53-J57)^2+(K53-K57)^2+(L53-L57)^2),SQRT((C53-C59)^2+(D53-D59)^2+(E53-E59)^2+(F53-F59)^2+(G53-G59)^2+(H53-H59)^2+(I53-I59)^2+(J53-J59)^2+(K53-K59)^2+(L53-L59)^2)),MIN(SQRT((C53-C57)^2+(D53-D57)^2+(E53-E57)^2+(F53-F57)^2+(G53-G57)^2+(H53-H57)^2+(I53-I57)^2+(J53-J57)^2+(K53-K57)^2+(L53-L57)^2),SQRT((C53-C58)^2+(D53-D58)^2+(E53-E58)^2+(F53-F58)^2+(G53-G58)^2+(H53-H58)^2+(I53-I58)^2+(J53-J58)^2+(K53-K58)^2+(L53-L58)^2))))</f>
        <v>1.2319127603667104</v>
      </c>
      <c r="F83" s="49">
        <f t="shared" si="30"/>
        <v>0.19977526399618484</v>
      </c>
      <c r="G83" s="50" t="str">
        <f t="shared" si="31"/>
        <v>Salah Klaster</v>
      </c>
    </row>
    <row r="84" spans="1:17" ht="15" customHeight="1" x14ac:dyDescent="0.25">
      <c r="E84" s="51" t="s">
        <v>157</v>
      </c>
      <c r="F84" s="52">
        <f>AVERAGE(F69:F83)</f>
        <v>0.50047582122133805</v>
      </c>
      <c r="G84" s="53" t="str">
        <f>IF(F84&gt;0.7,"Sangat Baik ✓",IF(F84&gt;0.5,"Baik ✓",IF(F84&gt;0.25,"Lemah","Buruk ✗")))</f>
        <v>Baik ✓</v>
      </c>
    </row>
    <row r="86" spans="1:17" ht="15" customHeight="1" x14ac:dyDescent="0.25">
      <c r="A86" s="112" t="s">
        <v>158</v>
      </c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</row>
    <row r="87" spans="1:17" ht="15" customHeight="1" x14ac:dyDescent="0.25">
      <c r="A87" s="113" t="s">
        <v>159</v>
      </c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</row>
    <row r="88" spans="1:17" ht="15" customHeight="1" x14ac:dyDescent="0.25">
      <c r="A88" s="44" t="s">
        <v>160</v>
      </c>
      <c r="B88" s="44" t="s">
        <v>161</v>
      </c>
      <c r="C88" s="44" t="s">
        <v>162</v>
      </c>
      <c r="D88" s="44" t="s">
        <v>163</v>
      </c>
      <c r="E88" s="44" t="s">
        <v>164</v>
      </c>
      <c r="F88" s="44" t="s">
        <v>165</v>
      </c>
      <c r="G88" s="44" t="s">
        <v>166</v>
      </c>
    </row>
    <row r="89" spans="1:17" ht="15" customHeight="1" x14ac:dyDescent="0.25">
      <c r="A89" s="45">
        <v>1</v>
      </c>
      <c r="B89" s="54">
        <f>AVERAGEIF(C69:C83,1,D69:D83)</f>
        <v>0</v>
      </c>
      <c r="C89" s="45">
        <v>2</v>
      </c>
      <c r="D89" s="54">
        <f>AVERAGEIF(C69:C83,2,D69:D83)</f>
        <v>0.7060995529332933</v>
      </c>
      <c r="E89" s="48">
        <f>SQRT((C57-C58)^2+(D57-D58)^2+(E57-E58)^2+(F57-F58)^2+(G57-G58)^2+(H57-H58)^2+(I57-I58)^2+(J57-J58)^2+(K57-K58)^2+(L57-L58)^2)</f>
        <v>2.251745248573592</v>
      </c>
      <c r="F89" s="49">
        <f>(B89+D89)/E89</f>
        <v>0.31357879110906733</v>
      </c>
      <c r="G89" s="55">
        <f>MAX(F89, (B89+AVERAGEIF(C$69:C$83,3,D$69:D$83))/SQRT((C$57-C$59)^2+(D$57-D$59)^2+(E$57-E$59)^2+(F$57-F$59)^2+(G$57-G$59)^2+(H$57-H$59)^2+(I$57-I$59)^2+(J$57-J$59)^2+(K$57-K$59)^2+(L$57-L$59)^2))</f>
        <v>0.40426323895611765</v>
      </c>
    </row>
    <row r="90" spans="1:17" ht="15" customHeight="1" x14ac:dyDescent="0.25">
      <c r="A90" s="45">
        <v>2</v>
      </c>
      <c r="B90" s="54">
        <f>AVERAGEIF(C69:C83,2,D69:D83)</f>
        <v>0.7060995529332933</v>
      </c>
      <c r="C90" s="45">
        <v>3</v>
      </c>
      <c r="D90" s="54">
        <f>AVERAGEIF(C69:C83,3,D69:D83)</f>
        <v>0.63875827347910386</v>
      </c>
      <c r="E90" s="48">
        <f>SQRT((C58-C59)^2+(D58-D59)^2+(E58-E59)^2+(F58-F59)^2+(G58-G59)^2+(H58-H59)^2+(I58-I59)^2+(J58-J59)^2+(K58-K59)^2+(L58-L59)^2)</f>
        <v>1.1828005769686474</v>
      </c>
      <c r="F90" s="49">
        <f>(B90+D90)/E90</f>
        <v>1.1370114731082392</v>
      </c>
      <c r="G90" s="55">
        <f>MAX(F90, (B90+AVERAGEIF(C$69:C$83,1,D$69:D$83))/SQRT((C$58-C$57)^2+(D$58-D$57)^2+(E$58-E$57)^2+(F$58-F$57)^2+(G$58-G$57)^2+(H$58-H$57)^2+(I$58-I$57)^2+(J$58-J$57)^2+(K$58-K$57)^2+(L$58-L$57)^2))</f>
        <v>1.1370114731082392</v>
      </c>
    </row>
    <row r="91" spans="1:17" ht="15" customHeight="1" x14ac:dyDescent="0.25">
      <c r="A91" s="45">
        <v>3</v>
      </c>
      <c r="B91" s="54">
        <f>AVERAGEIF(C69:C83,3,D69:D83)</f>
        <v>0.63875827347910386</v>
      </c>
      <c r="C91" s="45">
        <v>1</v>
      </c>
      <c r="D91" s="54">
        <f>AVERAGEIF(C69:C83,1,D69:D83)</f>
        <v>0</v>
      </c>
      <c r="E91" s="48">
        <f>SQRT((C59-C57)^2+(D59-D57)^2+(E59-E57)^2+(F59-F57)^2+(G59-G57)^2+(H59-H57)^2+(I59-I57)^2+(J59-J57)^2+(K59-K57)^2+(L59-L57)^2)</f>
        <v>1.5800553004237925</v>
      </c>
      <c r="F91" s="49">
        <f>(B91+D91)/E91</f>
        <v>0.40426323895611765</v>
      </c>
      <c r="G91" s="55">
        <f>MAX(F91, (B91+AVERAGEIF(C$69:C$83,2,D$69:D$83))/SQRT((C$59-C$58)^2+(D$59-D$58)^2+(E$59-E$58)^2+(F$59-F$58)^2+(G$59-G$58)^2+(H$59-H$58)^2+(I$59-I$58)^2+(J$59-J$58)^2+(K$59-K$58)^2+(L$59-L$58)^2))</f>
        <v>1.1370114731082392</v>
      </c>
    </row>
    <row r="92" spans="1:17" ht="15" customHeight="1" x14ac:dyDescent="0.25">
      <c r="F92" s="51" t="s">
        <v>167</v>
      </c>
      <c r="G92" s="52">
        <f>AVERAGE(G89:G91)</f>
        <v>0.89276206172419881</v>
      </c>
    </row>
    <row r="94" spans="1:17" ht="15" customHeight="1" x14ac:dyDescent="0.25">
      <c r="A94" s="112" t="s">
        <v>168</v>
      </c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</row>
    <row r="95" spans="1:17" ht="15" customHeight="1" x14ac:dyDescent="0.25">
      <c r="A95" s="113" t="s">
        <v>169</v>
      </c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</row>
    <row r="96" spans="1:17" ht="15" customHeight="1" x14ac:dyDescent="0.25">
      <c r="A96" s="114" t="s">
        <v>170</v>
      </c>
      <c r="B96" s="114"/>
      <c r="C96" s="56">
        <f>COUNTA('1_Dataset'!A4:A18)</f>
        <v>15</v>
      </c>
    </row>
    <row r="97" spans="1:7" ht="15" customHeight="1" x14ac:dyDescent="0.25">
      <c r="A97" s="114" t="s">
        <v>171</v>
      </c>
      <c r="B97" s="114"/>
      <c r="C97" s="56">
        <f>3</f>
        <v>3</v>
      </c>
    </row>
    <row r="98" spans="1:7" ht="15" customHeight="1" x14ac:dyDescent="0.25">
      <c r="A98" s="114" t="s">
        <v>142</v>
      </c>
      <c r="B98" s="114"/>
      <c r="C98" s="56">
        <f>C61</f>
        <v>6.9596060722579232</v>
      </c>
    </row>
    <row r="99" spans="1:7" ht="15" customHeight="1" x14ac:dyDescent="0.25">
      <c r="A99" s="114" t="s">
        <v>172</v>
      </c>
      <c r="B99" s="114"/>
      <c r="C99" s="55">
        <f>AVERAGE('2_Normalisasi'!C8:C22)</f>
        <v>0.3111213376284826</v>
      </c>
    </row>
    <row r="100" spans="1:7" ht="15" customHeight="1" x14ac:dyDescent="0.25">
      <c r="A100" s="114" t="s">
        <v>173</v>
      </c>
      <c r="B100" s="114"/>
      <c r="C100" s="55">
        <f>AVERAGE('2_Normalisasi'!D8:D22)</f>
        <v>0.28654732845131609</v>
      </c>
    </row>
    <row r="101" spans="1:7" ht="15" customHeight="1" x14ac:dyDescent="0.25">
      <c r="A101" s="114" t="s">
        <v>174</v>
      </c>
      <c r="B101" s="114"/>
      <c r="C101" s="55">
        <f>AVERAGE('2_Normalisasi'!E8:E22)</f>
        <v>0.11876704855428262</v>
      </c>
    </row>
    <row r="102" spans="1:7" ht="15" customHeight="1" x14ac:dyDescent="0.25">
      <c r="A102" s="114" t="s">
        <v>175</v>
      </c>
      <c r="B102" s="114"/>
      <c r="C102" s="55">
        <f>AVERAGE('2_Normalisasi'!F8:F22)</f>
        <v>0.47777777777777758</v>
      </c>
    </row>
    <row r="103" spans="1:7" ht="15" customHeight="1" x14ac:dyDescent="0.25">
      <c r="A103" s="114" t="s">
        <v>176</v>
      </c>
      <c r="B103" s="114"/>
      <c r="C103" s="55">
        <f>AVERAGE('2_Normalisasi'!G8:G22)</f>
        <v>0.35555555555555557</v>
      </c>
    </row>
    <row r="104" spans="1:7" ht="15" customHeight="1" x14ac:dyDescent="0.25">
      <c r="A104" s="114" t="s">
        <v>177</v>
      </c>
      <c r="B104" s="114"/>
      <c r="C104" s="55">
        <f>AVERAGE('2_Normalisasi'!H8:H22)</f>
        <v>0.33333333333333331</v>
      </c>
    </row>
    <row r="105" spans="1:7" ht="15" customHeight="1" x14ac:dyDescent="0.25">
      <c r="A105" s="114" t="s">
        <v>178</v>
      </c>
      <c r="B105" s="114"/>
      <c r="C105" s="55">
        <f>AVERAGE('2_Normalisasi'!I8:I22)</f>
        <v>0.71111111111111114</v>
      </c>
    </row>
    <row r="106" spans="1:7" ht="15" customHeight="1" x14ac:dyDescent="0.25">
      <c r="A106" s="114" t="s">
        <v>179</v>
      </c>
      <c r="B106" s="114"/>
      <c r="C106" s="55">
        <f>AVERAGE('2_Normalisasi'!J8:J22)</f>
        <v>0.46666666666666667</v>
      </c>
    </row>
    <row r="107" spans="1:7" ht="15" customHeight="1" x14ac:dyDescent="0.25">
      <c r="A107" s="114" t="s">
        <v>180</v>
      </c>
      <c r="B107" s="114"/>
      <c r="C107" s="55">
        <f>AVERAGE('2_Normalisasi'!K8:K22)</f>
        <v>0.11129943502824859</v>
      </c>
    </row>
    <row r="108" spans="1:7" ht="15" customHeight="1" x14ac:dyDescent="0.25">
      <c r="A108" s="114" t="s">
        <v>181</v>
      </c>
      <c r="B108" s="114"/>
      <c r="C108" s="55">
        <f>AVERAGE('2_Normalisasi'!L8:L22)</f>
        <v>0.37279279279279282</v>
      </c>
    </row>
    <row r="109" spans="1:7" ht="15" customHeight="1" x14ac:dyDescent="0.25">
      <c r="A109" s="114" t="s">
        <v>182</v>
      </c>
      <c r="B109" s="114"/>
      <c r="C109" s="55">
        <f>COUNTIF(P39:P53,1)*((AVERAGEIF(P39:P53,1,C39:C53)-C99)^2+(AVERAGEIF(P39:P53,1,D39:D53)-C100)^2+(AVERAGEIF(P39:P53,1,E39:E53)-C101)^2+(AVERAGEIF(P39:P53,1,F39:F53)-C102)^2+(AVERAGEIF(P39:P53,1,G39:G53)-C103)^2+(AVERAGEIF(P39:P53,1,H39:H53)-C104)^2+(AVERAGEIF(P39:P53,1,I39:I53)-C105)^2+(AVERAGEIF(P39:P53,1,J39:J53)-C106)^2+(AVERAGEIF(P39:P53,1,K39:K53)-C107)^2+(AVERAGEIF(P39:P53,1,L39:L53)-C108)^2)+COUNTIF(P39:P53,2)*((AVERAGEIF(P39:P53,2,C39:C53)-C99)^2+(AVERAGEIF(P39:P53,2,D39:D53)-C100)^2+(AVERAGEIF(P39:P53,2,E39:E53)-C101)^2+(AVERAGEIF(P39:P53,2,F39:F53)-C102)^2+(AVERAGEIF(P39:P53,2,G39:G53)-C103)^2+(AVERAGEIF(P39:P53,2,H39:H53)-C104)^2+(AVERAGEIF(P39:P53,2,I39:I53)-C105)^2+(AVERAGEIF(P39:P53,2,J39:J53)-C106)^2+(AVERAGEIF(P39:P53,2,K39:K53)-C107)^2+(AVERAGEIF(P39:P53,2,L39:L53)-C108)^2)+COUNTIF(P39:P53,3)*((AVERAGEIF(P39:P53,3,C39:C53)-C99)^2+(AVERAGEIF(P39:P53,3,D39:D53)-C100)^2+(AVERAGEIF(P39:P53,3,E39:E53)-C101)^2+(AVERAGEIF(P39:P53,3,F39:F53)-C102)^2+(AVERAGEIF(P39:P53,3,G39:G53)-C103)^2+(AVERAGEIF(P39:P53,3,H39:H53)-C104)^2+(AVERAGEIF(P39:P53,3,I39:I53)-C105)^2+(AVERAGEIF(P39:P53,3,J39:J53)-C106)^2+(AVERAGEIF(P39:P53,3,K39:K53)-C107)^2+(AVERAGEIF(P39:P53,3,L39:L53)-C108)^2)</f>
        <v>8.1796751776191634</v>
      </c>
    </row>
    <row r="110" spans="1:7" ht="15" customHeight="1" x14ac:dyDescent="0.25">
      <c r="A110" s="114" t="s">
        <v>183</v>
      </c>
      <c r="B110" s="114"/>
      <c r="C110" s="57">
        <f>(C109/(C97-1))/(C98/(C96-C97))</f>
        <v>7.0518432445979613</v>
      </c>
    </row>
    <row r="112" spans="1:7" ht="15" customHeight="1" x14ac:dyDescent="0.25">
      <c r="A112" s="115" t="s">
        <v>184</v>
      </c>
      <c r="B112" s="115"/>
      <c r="C112" s="115"/>
      <c r="D112" s="115"/>
      <c r="E112" s="115"/>
      <c r="F112" s="115"/>
      <c r="G112" s="115"/>
    </row>
    <row r="113" spans="1:5" ht="15" customHeight="1" x14ac:dyDescent="0.25">
      <c r="A113" s="44" t="s">
        <v>185</v>
      </c>
      <c r="B113" s="44" t="s">
        <v>186</v>
      </c>
      <c r="C113" s="44" t="s">
        <v>187</v>
      </c>
      <c r="D113" s="44" t="s">
        <v>188</v>
      </c>
      <c r="E113" s="44" t="s">
        <v>156</v>
      </c>
    </row>
    <row r="114" spans="1:5" ht="63.75" customHeight="1" x14ac:dyDescent="0.25">
      <c r="A114" s="46" t="s">
        <v>189</v>
      </c>
      <c r="B114" s="58">
        <f>F84</f>
        <v>0.50047582122133805</v>
      </c>
      <c r="C114" s="59" t="s">
        <v>190</v>
      </c>
      <c r="D114" s="53" t="str">
        <f>IF(B114&gt;0.5,"✓ Baik","✗ Perlu Perbaikan")</f>
        <v>✓ Baik</v>
      </c>
      <c r="E114" s="60" t="s">
        <v>191</v>
      </c>
    </row>
    <row r="115" spans="1:5" ht="63.75" customHeight="1" x14ac:dyDescent="0.25">
      <c r="A115" s="46" t="s">
        <v>192</v>
      </c>
      <c r="B115" s="58">
        <f>G92</f>
        <v>0.89276206172419881</v>
      </c>
      <c r="C115" s="59" t="s">
        <v>193</v>
      </c>
      <c r="D115" s="53" t="str">
        <f>IF(B115&lt;1,"✓ Baik","✗ Perlu Perbaikan")</f>
        <v>✓ Baik</v>
      </c>
      <c r="E115" s="60" t="s">
        <v>194</v>
      </c>
    </row>
    <row r="116" spans="1:5" ht="63.75" customHeight="1" x14ac:dyDescent="0.25">
      <c r="A116" s="46" t="s">
        <v>195</v>
      </c>
      <c r="B116" s="58">
        <f>C110</f>
        <v>7.0518432445979613</v>
      </c>
      <c r="C116" s="59" t="s">
        <v>196</v>
      </c>
      <c r="D116" s="53" t="str">
        <f>IF(B116&gt;100,"✓ Baik","✗ Perlu Perbaikan")</f>
        <v>✗ Perlu Perbaikan</v>
      </c>
      <c r="E116" s="60" t="s">
        <v>197</v>
      </c>
    </row>
  </sheetData>
  <mergeCells count="35">
    <mergeCell ref="A107:B107"/>
    <mergeCell ref="A108:B108"/>
    <mergeCell ref="A109:B109"/>
    <mergeCell ref="A110:B110"/>
    <mergeCell ref="A112:G112"/>
    <mergeCell ref="A102:B102"/>
    <mergeCell ref="A103:B103"/>
    <mergeCell ref="A104:B104"/>
    <mergeCell ref="A105:B105"/>
    <mergeCell ref="A106:B106"/>
    <mergeCell ref="A97:B97"/>
    <mergeCell ref="A98:B98"/>
    <mergeCell ref="A99:B99"/>
    <mergeCell ref="A100:B100"/>
    <mergeCell ref="A101:B101"/>
    <mergeCell ref="A86:Q86"/>
    <mergeCell ref="A87:Q87"/>
    <mergeCell ref="A94:Q94"/>
    <mergeCell ref="A95:Q95"/>
    <mergeCell ref="A96:B96"/>
    <mergeCell ref="A55:R55"/>
    <mergeCell ref="A61:B61"/>
    <mergeCell ref="A64:Q64"/>
    <mergeCell ref="A66:Q66"/>
    <mergeCell ref="A67:Q67"/>
    <mergeCell ref="A7:B7"/>
    <mergeCell ref="A9:R9"/>
    <mergeCell ref="A27:R27"/>
    <mergeCell ref="A33:B33"/>
    <mergeCell ref="A37:R37"/>
    <mergeCell ref="A1:R1"/>
    <mergeCell ref="A2:R2"/>
    <mergeCell ref="A4:B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Normal="100" workbookViewId="0">
      <selection activeCell="C4" sqref="C4"/>
    </sheetView>
  </sheetViews>
  <sheetFormatPr defaultColWidth="8.7109375" defaultRowHeight="15" x14ac:dyDescent="0.25"/>
  <cols>
    <col min="1" max="1" width="8" style="15" customWidth="1"/>
    <col min="2" max="6" width="14" style="15" customWidth="1"/>
    <col min="7" max="7" width="20" style="15" customWidth="1"/>
    <col min="8" max="10" width="12" style="15" customWidth="1"/>
  </cols>
  <sheetData>
    <row r="1" spans="1:10" ht="27.75" customHeight="1" x14ac:dyDescent="0.25">
      <c r="A1" s="7" t="s">
        <v>198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5">
      <c r="A2" s="106" t="s">
        <v>199</v>
      </c>
      <c r="B2" s="106"/>
      <c r="C2" s="106"/>
      <c r="D2" s="106"/>
      <c r="E2" s="106"/>
      <c r="F2" s="106"/>
      <c r="G2" s="106"/>
      <c r="H2" s="106"/>
      <c r="I2" s="106"/>
      <c r="J2" s="106"/>
    </row>
    <row r="4" spans="1:10" ht="27.75" customHeight="1" x14ac:dyDescent="0.25">
      <c r="A4" s="16" t="s">
        <v>200</v>
      </c>
      <c r="B4" s="16" t="s">
        <v>142</v>
      </c>
      <c r="C4" s="16" t="s">
        <v>201</v>
      </c>
      <c r="D4" s="16" t="s">
        <v>202</v>
      </c>
      <c r="E4" s="16" t="s">
        <v>203</v>
      </c>
      <c r="F4" s="16" t="s">
        <v>204</v>
      </c>
      <c r="G4" s="16" t="s">
        <v>188</v>
      </c>
      <c r="H4" s="16" t="s">
        <v>205</v>
      </c>
      <c r="I4" s="16" t="s">
        <v>206</v>
      </c>
      <c r="J4" s="16" t="s">
        <v>207</v>
      </c>
    </row>
    <row r="5" spans="1:10" ht="15" customHeight="1" x14ac:dyDescent="0.25">
      <c r="A5" s="17">
        <v>0</v>
      </c>
      <c r="G5" s="61" t="s">
        <v>208</v>
      </c>
    </row>
    <row r="6" spans="1:10" ht="15" customHeight="1" x14ac:dyDescent="0.25">
      <c r="A6" s="62">
        <v>1</v>
      </c>
      <c r="B6" s="30">
        <f>'4_Iterasi_KMeans++'!C33</f>
        <v>14.056937785010142</v>
      </c>
      <c r="C6" s="22">
        <v>0</v>
      </c>
      <c r="D6" s="22">
        <v>0.70199999999999996</v>
      </c>
      <c r="E6" s="22">
        <v>0.72519999999999996</v>
      </c>
      <c r="F6" s="31">
        <f>SQRT(C6^2+D6^2+E6^2)</f>
        <v>1.009316124908346</v>
      </c>
      <c r="G6" s="63" t="s">
        <v>209</v>
      </c>
      <c r="H6" s="39">
        <f>COUNTIF('4_Iterasi_KMeans++'!P11:P25,1)</f>
        <v>1</v>
      </c>
      <c r="I6" s="39">
        <f>COUNTIF('4_Iterasi_KMeans++'!P11:P25,2)</f>
        <v>8</v>
      </c>
      <c r="J6" s="39">
        <f>COUNTIF('4_Iterasi_KMeans++'!P11:P25,3)</f>
        <v>6</v>
      </c>
    </row>
    <row r="7" spans="1:10" ht="15" customHeight="1" x14ac:dyDescent="0.25">
      <c r="A7" s="62">
        <v>2</v>
      </c>
      <c r="B7" s="42">
        <f>'4_Iterasi_KMeans++'!C61</f>
        <v>6.9596060722579232</v>
      </c>
      <c r="C7" s="22">
        <v>0</v>
      </c>
      <c r="D7" s="22">
        <v>0</v>
      </c>
      <c r="E7" s="22">
        <v>0</v>
      </c>
      <c r="F7" s="31">
        <f>SQRT(C7^2+D7^2+E7^2)</f>
        <v>0</v>
      </c>
      <c r="G7" s="63" t="s">
        <v>210</v>
      </c>
    </row>
    <row r="8" spans="1:10" ht="15" customHeight="1" x14ac:dyDescent="0.25">
      <c r="A8" s="62"/>
      <c r="C8" s="22"/>
      <c r="D8" s="22"/>
      <c r="E8" s="22"/>
      <c r="F8" s="31"/>
      <c r="G8" s="63"/>
    </row>
    <row r="9" spans="1:10" ht="15" customHeight="1" x14ac:dyDescent="0.25">
      <c r="A9" s="62"/>
      <c r="C9" s="22"/>
      <c r="D9" s="22"/>
      <c r="E9" s="22"/>
      <c r="F9" s="31"/>
      <c r="G9" s="63"/>
    </row>
    <row r="10" spans="1:10" ht="15" customHeight="1" x14ac:dyDescent="0.25">
      <c r="A10" s="62"/>
      <c r="C10" s="22"/>
      <c r="D10" s="22"/>
      <c r="E10" s="22"/>
      <c r="F10" s="31"/>
      <c r="G10" s="63"/>
    </row>
    <row r="11" spans="1:10" ht="15" customHeight="1" x14ac:dyDescent="0.25">
      <c r="A11" s="62"/>
      <c r="C11" s="22"/>
      <c r="D11" s="22"/>
      <c r="E11" s="22"/>
      <c r="F11" s="31"/>
      <c r="G11" s="64"/>
    </row>
    <row r="12" spans="1:10" ht="21.75" customHeight="1" x14ac:dyDescent="0.25">
      <c r="A12" s="65" t="s">
        <v>211</v>
      </c>
      <c r="B12" s="66">
        <v>1E-4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Normal="100" workbookViewId="0"/>
  </sheetViews>
  <sheetFormatPr defaultColWidth="8.7109375" defaultRowHeight="15" x14ac:dyDescent="0.25"/>
  <cols>
    <col min="1" max="1" width="5" style="15" customWidth="1"/>
    <col min="2" max="2" width="32" style="15" customWidth="1"/>
    <col min="3" max="3" width="8" style="15" customWidth="1"/>
    <col min="4" max="4" width="22" style="15" customWidth="1"/>
    <col min="5" max="5" width="16" style="15" customWidth="1"/>
    <col min="6" max="6" width="8" style="15" customWidth="1"/>
    <col min="7" max="8" width="14" style="15" customWidth="1"/>
    <col min="9" max="9" width="36" style="15" customWidth="1"/>
  </cols>
  <sheetData>
    <row r="1" spans="1:9" ht="27.75" customHeight="1" x14ac:dyDescent="0.25">
      <c r="A1" s="7" t="s">
        <v>212</v>
      </c>
      <c r="B1" s="7"/>
      <c r="C1" s="7"/>
      <c r="D1" s="7"/>
      <c r="E1" s="7"/>
      <c r="F1" s="7"/>
      <c r="G1" s="7"/>
      <c r="H1" s="7"/>
      <c r="I1" s="7"/>
    </row>
    <row r="2" spans="1:9" ht="31.5" customHeight="1" x14ac:dyDescent="0.25">
      <c r="A2" s="16" t="s">
        <v>34</v>
      </c>
      <c r="B2" s="16" t="s">
        <v>35</v>
      </c>
      <c r="C2" s="16" t="s">
        <v>138</v>
      </c>
      <c r="D2" s="16" t="s">
        <v>213</v>
      </c>
      <c r="E2" s="16" t="s">
        <v>214</v>
      </c>
      <c r="F2" s="16" t="s">
        <v>71</v>
      </c>
      <c r="G2" s="16" t="s">
        <v>215</v>
      </c>
      <c r="H2" s="16" t="s">
        <v>216</v>
      </c>
      <c r="I2" s="16" t="s">
        <v>217</v>
      </c>
    </row>
    <row r="3" spans="1:9" ht="15" customHeight="1" x14ac:dyDescent="0.25">
      <c r="A3" s="28">
        <f>'1_Dataset'!A4</f>
        <v>1</v>
      </c>
      <c r="B3" s="18" t="str">
        <f>'1_Dataset'!B4</f>
        <v>Candi Borobudur</v>
      </c>
      <c r="C3" s="33">
        <f>'4_Iterasi_KMeans++'!P11</f>
        <v>1</v>
      </c>
      <c r="D3" s="67" t="str">
        <f t="shared" ref="D3:D17" si="0">IF(C3=1,"Klaster 1: Unggulan",IF(C3=2,"Klaster 2: Berkembang","Klaster 3: Potensial"))</f>
        <v>Klaster 1: Unggulan</v>
      </c>
      <c r="E3" s="68">
        <f>'1_Dataset'!E4</f>
        <v>1250000</v>
      </c>
      <c r="F3" s="69">
        <f>'1_Dataset'!F4</f>
        <v>4.9000000000000004</v>
      </c>
      <c r="G3" s="31">
        <f>IF(C3=1,'4_Iterasi_KMeans++'!M11,IF(C3=2,'4_Iterasi_KMeans++'!N11,'4_Iterasi_KMeans++'!O11))</f>
        <v>0</v>
      </c>
      <c r="H3" s="70">
        <f>('1_Dataset'!F4/5*0.25+'1_Dataset'!G4/5*0.15+'1_Dataset'!H4/5*0.1+'1_Dataset'!I4/5*0.2+'1_Dataset'!J4/5*0.15+MIN('1_Dataset'!K4,20000)/20000*0.15)</f>
        <v>0.94375000000000009</v>
      </c>
      <c r="I3" s="71" t="str">
        <f t="shared" ref="I3:I17" si="1">IF(C3=1,"Prioritas pengembangan infrastruktur &amp; promosi",IF(C3=2,"Tingkatkan fasilitas &amp; aksesibilitas","Eksplorasi &amp; pengembangan awal"))</f>
        <v>Prioritas pengembangan infrastruktur &amp; promosi</v>
      </c>
    </row>
    <row r="4" spans="1:9" ht="15" customHeight="1" x14ac:dyDescent="0.25">
      <c r="A4" s="28">
        <f>'1_Dataset'!A5</f>
        <v>2</v>
      </c>
      <c r="B4" s="18" t="str">
        <f>'1_Dataset'!B5</f>
        <v>Punthuk Setumbu</v>
      </c>
      <c r="C4" s="33">
        <f>'4_Iterasi_KMeans++'!P12</f>
        <v>3</v>
      </c>
      <c r="D4" s="67" t="str">
        <f t="shared" si="0"/>
        <v>Klaster 3: Potensial</v>
      </c>
      <c r="E4" s="68">
        <f>'1_Dataset'!E5</f>
        <v>185000</v>
      </c>
      <c r="F4" s="69">
        <f>'1_Dataset'!F5</f>
        <v>4.7</v>
      </c>
      <c r="G4" s="31">
        <f>IF(C4=1,'4_Iterasi_KMeans++'!M12,IF(C4=2,'4_Iterasi_KMeans++'!N12,'4_Iterasi_KMeans++'!O12))</f>
        <v>1.4634378383204882</v>
      </c>
      <c r="H4" s="70">
        <f>('1_Dataset'!F5/5*0.25+'1_Dataset'!G5/5*0.15+'1_Dataset'!H5/5*0.1+'1_Dataset'!I5/5*0.2+'1_Dataset'!J5/5*0.15+MIN('1_Dataset'!K5,20000)/20000*0.15)</f>
        <v>0.72599999999999998</v>
      </c>
      <c r="I4" s="71" t="str">
        <f t="shared" si="1"/>
        <v>Eksplorasi &amp; pengembangan awal</v>
      </c>
    </row>
    <row r="5" spans="1:9" ht="15" customHeight="1" x14ac:dyDescent="0.25">
      <c r="A5" s="28">
        <f>'1_Dataset'!A6</f>
        <v>3</v>
      </c>
      <c r="B5" s="18" t="str">
        <f>'1_Dataset'!B6</f>
        <v>Candi Pawon</v>
      </c>
      <c r="C5" s="33">
        <f>'4_Iterasi_KMeans++'!P13</f>
        <v>3</v>
      </c>
      <c r="D5" s="67" t="str">
        <f t="shared" si="0"/>
        <v>Klaster 3: Potensial</v>
      </c>
      <c r="E5" s="68">
        <f>'1_Dataset'!E6</f>
        <v>95000</v>
      </c>
      <c r="F5" s="69">
        <f>'1_Dataset'!F6</f>
        <v>4.2</v>
      </c>
      <c r="G5" s="31">
        <f>IF(C5=1,'4_Iterasi_KMeans++'!M13,IF(C5=2,'4_Iterasi_KMeans++'!N13,'4_Iterasi_KMeans++'!O13))</f>
        <v>0.60462082284320473</v>
      </c>
      <c r="H5" s="70">
        <f>('1_Dataset'!F6/5*0.25+'1_Dataset'!G6/5*0.15+'1_Dataset'!H6/5*0.1+'1_Dataset'!I6/5*0.2+'1_Dataset'!J6/5*0.15+MIN('1_Dataset'!K6,20000)/20000*0.15)</f>
        <v>0.66637500000000005</v>
      </c>
      <c r="I5" s="71" t="str">
        <f t="shared" si="1"/>
        <v>Eksplorasi &amp; pengembangan awal</v>
      </c>
    </row>
    <row r="6" spans="1:9" ht="15" customHeight="1" x14ac:dyDescent="0.25">
      <c r="A6" s="28">
        <f>'1_Dataset'!A7</f>
        <v>4</v>
      </c>
      <c r="B6" s="18" t="str">
        <f>'1_Dataset'!B7</f>
        <v>Candi Mendut</v>
      </c>
      <c r="C6" s="33">
        <f>'4_Iterasi_KMeans++'!P14</f>
        <v>3</v>
      </c>
      <c r="D6" s="67" t="str">
        <f t="shared" si="0"/>
        <v>Klaster 3: Potensial</v>
      </c>
      <c r="E6" s="68">
        <f>'1_Dataset'!E7</f>
        <v>125000</v>
      </c>
      <c r="F6" s="69">
        <f>'1_Dataset'!F7</f>
        <v>4.3</v>
      </c>
      <c r="G6" s="31">
        <f>IF(C6=1,'4_Iterasi_KMeans++'!M14,IF(C6=2,'4_Iterasi_KMeans++'!N14,'4_Iterasi_KMeans++'!O14))</f>
        <v>0.55530056423258134</v>
      </c>
      <c r="H6" s="70">
        <f>('1_Dataset'!F7/5*0.25+'1_Dataset'!G7/5*0.15+'1_Dataset'!H7/5*0.1+'1_Dataset'!I7/5*0.2+'1_Dataset'!J7/5*0.15+MIN('1_Dataset'!K7,20000)/20000*0.15)</f>
        <v>0.69399999999999995</v>
      </c>
      <c r="I6" s="71" t="str">
        <f t="shared" si="1"/>
        <v>Eksplorasi &amp; pengembangan awal</v>
      </c>
    </row>
    <row r="7" spans="1:9" ht="15" customHeight="1" x14ac:dyDescent="0.25">
      <c r="A7" s="28">
        <f>'1_Dataset'!A8</f>
        <v>5</v>
      </c>
      <c r="B7" s="18" t="str">
        <f>'1_Dataset'!B8</f>
        <v>Ketep Pass</v>
      </c>
      <c r="C7" s="33">
        <f>'4_Iterasi_KMeans++'!P15</f>
        <v>2</v>
      </c>
      <c r="D7" s="67" t="str">
        <f t="shared" si="0"/>
        <v>Klaster 2: Berkembang</v>
      </c>
      <c r="E7" s="68">
        <f>'1_Dataset'!E8</f>
        <v>210000</v>
      </c>
      <c r="F7" s="69">
        <f>'1_Dataset'!F8</f>
        <v>4.5</v>
      </c>
      <c r="G7" s="31">
        <f>IF(C7=1,'4_Iterasi_KMeans++'!M15,IF(C7=2,'4_Iterasi_KMeans++'!N15,'4_Iterasi_KMeans++'!O15))</f>
        <v>1.3955546372239991</v>
      </c>
      <c r="H7" s="70">
        <f>('1_Dataset'!F8/5*0.25+'1_Dataset'!G8/5*0.15+'1_Dataset'!H8/5*0.1+'1_Dataset'!I8/5*0.2+'1_Dataset'!J8/5*0.15+MIN('1_Dataset'!K8,20000)/20000*0.15)</f>
        <v>0.70824999999999994</v>
      </c>
      <c r="I7" s="71" t="str">
        <f t="shared" si="1"/>
        <v>Tingkatkan fasilitas &amp; aksesibilitas</v>
      </c>
    </row>
    <row r="8" spans="1:9" ht="15" customHeight="1" x14ac:dyDescent="0.25">
      <c r="A8" s="28">
        <f>'1_Dataset'!A9</f>
        <v>6</v>
      </c>
      <c r="B8" s="18" t="str">
        <f>'1_Dataset'!B9</f>
        <v>Kopeng</v>
      </c>
      <c r="C8" s="33">
        <f>'4_Iterasi_KMeans++'!P16</f>
        <v>2</v>
      </c>
      <c r="D8" s="67" t="str">
        <f t="shared" si="0"/>
        <v>Klaster 2: Berkembang</v>
      </c>
      <c r="E8" s="68">
        <f>'1_Dataset'!E9</f>
        <v>98000</v>
      </c>
      <c r="F8" s="69">
        <f>'1_Dataset'!F9</f>
        <v>3.8</v>
      </c>
      <c r="G8" s="31">
        <f>IF(C8=1,'4_Iterasi_KMeans++'!M16,IF(C8=2,'4_Iterasi_KMeans++'!N16,'4_Iterasi_KMeans++'!O16))</f>
        <v>0.78984008765452529</v>
      </c>
      <c r="H8" s="70">
        <f>('1_Dataset'!F9/5*0.25+'1_Dataset'!G9/5*0.15+'1_Dataset'!H9/5*0.1+'1_Dataset'!I9/5*0.2+'1_Dataset'!J9/5*0.15+MIN('1_Dataset'!K9,20000)/20000*0.15)</f>
        <v>0.56585000000000008</v>
      </c>
      <c r="I8" s="71" t="str">
        <f t="shared" si="1"/>
        <v>Tingkatkan fasilitas &amp; aksesibilitas</v>
      </c>
    </row>
    <row r="9" spans="1:9" ht="15" customHeight="1" x14ac:dyDescent="0.25">
      <c r="A9" s="28">
        <f>'1_Dataset'!A10</f>
        <v>7</v>
      </c>
      <c r="B9" s="18" t="str">
        <f>'1_Dataset'!B10</f>
        <v>Air Terjun Kedung Kayang</v>
      </c>
      <c r="C9" s="33">
        <f>'4_Iterasi_KMeans++'!P17</f>
        <v>2</v>
      </c>
      <c r="D9" s="67" t="str">
        <f t="shared" si="0"/>
        <v>Klaster 2: Berkembang</v>
      </c>
      <c r="E9" s="68">
        <f>'1_Dataset'!E10</f>
        <v>42000</v>
      </c>
      <c r="F9" s="69">
        <f>'1_Dataset'!F10</f>
        <v>4.4000000000000004</v>
      </c>
      <c r="G9" s="31">
        <f>IF(C9=1,'4_Iterasi_KMeans++'!M17,IF(C9=2,'4_Iterasi_KMeans++'!N17,'4_Iterasi_KMeans++'!O17))</f>
        <v>1.0154450253921961</v>
      </c>
      <c r="H9" s="70">
        <f>('1_Dataset'!F10/5*0.25+'1_Dataset'!G10/5*0.15+'1_Dataset'!H10/5*0.1+'1_Dataset'!I10/5*0.2+'1_Dataset'!J10/5*0.15+MIN('1_Dataset'!K10,20000)/20000*0.15)</f>
        <v>0.58240000000000003</v>
      </c>
      <c r="I9" s="71" t="str">
        <f t="shared" si="1"/>
        <v>Tingkatkan fasilitas &amp; aksesibilitas</v>
      </c>
    </row>
    <row r="10" spans="1:9" ht="15" customHeight="1" x14ac:dyDescent="0.25">
      <c r="A10" s="28">
        <f>'1_Dataset'!A11</f>
        <v>8</v>
      </c>
      <c r="B10" s="18" t="str">
        <f>'1_Dataset'!B11</f>
        <v>Telaga Bleder</v>
      </c>
      <c r="C10" s="33">
        <f>'4_Iterasi_KMeans++'!P18</f>
        <v>2</v>
      </c>
      <c r="D10" s="67" t="str">
        <f t="shared" si="0"/>
        <v>Klaster 2: Berkembang</v>
      </c>
      <c r="E10" s="68">
        <f>'1_Dataset'!E11</f>
        <v>35000</v>
      </c>
      <c r="F10" s="69">
        <f>'1_Dataset'!F11</f>
        <v>3.9</v>
      </c>
      <c r="G10" s="31">
        <f>IF(C10=1,'4_Iterasi_KMeans++'!M18,IF(C10=2,'4_Iterasi_KMeans++'!N18,'4_Iterasi_KMeans++'!O18))</f>
        <v>0.73422490272037599</v>
      </c>
      <c r="H10" s="70">
        <f>('1_Dataset'!F11/5*0.25+'1_Dataset'!G11/5*0.15+'1_Dataset'!H11/5*0.1+'1_Dataset'!I11/5*0.2+'1_Dataset'!J11/5*0.15+MIN('1_Dataset'!K11,20000)/20000*0.15)</f>
        <v>0.51710000000000012</v>
      </c>
      <c r="I10" s="71" t="str">
        <f t="shared" si="1"/>
        <v>Tingkatkan fasilitas &amp; aksesibilitas</v>
      </c>
    </row>
    <row r="11" spans="1:9" ht="15" customHeight="1" x14ac:dyDescent="0.25">
      <c r="A11" s="28">
        <f>'1_Dataset'!A12</f>
        <v>9</v>
      </c>
      <c r="B11" s="18" t="str">
        <f>'1_Dataset'!B12</f>
        <v>Bukit Rhema (Gereja Ayam)</v>
      </c>
      <c r="C11" s="33">
        <f>'4_Iterasi_KMeans++'!P19</f>
        <v>3</v>
      </c>
      <c r="D11" s="67" t="str">
        <f t="shared" si="0"/>
        <v>Klaster 3: Potensial</v>
      </c>
      <c r="E11" s="68">
        <f>'1_Dataset'!E12</f>
        <v>165000</v>
      </c>
      <c r="F11" s="69">
        <f>'1_Dataset'!F12</f>
        <v>4.5999999999999996</v>
      </c>
      <c r="G11" s="31">
        <f>IF(C11=1,'4_Iterasi_KMeans++'!M19,IF(C11=2,'4_Iterasi_KMeans++'!N19,'4_Iterasi_KMeans++'!O19))</f>
        <v>1.4108226133858737</v>
      </c>
      <c r="H11" s="70">
        <f>('1_Dataset'!F12/5*0.25+'1_Dataset'!G12/5*0.15+'1_Dataset'!H12/5*0.1+'1_Dataset'!I12/5*0.2+'1_Dataset'!J12/5*0.15+MIN('1_Dataset'!K12,20000)/20000*0.15)</f>
        <v>0.67575000000000007</v>
      </c>
      <c r="I11" s="71" t="str">
        <f t="shared" si="1"/>
        <v>Eksplorasi &amp; pengembangan awal</v>
      </c>
    </row>
    <row r="12" spans="1:9" ht="15" customHeight="1" x14ac:dyDescent="0.25">
      <c r="A12" s="28">
        <f>'1_Dataset'!A13</f>
        <v>10</v>
      </c>
      <c r="B12" s="18" t="str">
        <f>'1_Dataset'!B13</f>
        <v>Sawah Sukomakmur</v>
      </c>
      <c r="C12" s="33">
        <f>'4_Iterasi_KMeans++'!P20</f>
        <v>2</v>
      </c>
      <c r="D12" s="67" t="str">
        <f t="shared" si="0"/>
        <v>Klaster 2: Berkembang</v>
      </c>
      <c r="E12" s="68">
        <f>'1_Dataset'!E13</f>
        <v>28000</v>
      </c>
      <c r="F12" s="69">
        <f>'1_Dataset'!F13</f>
        <v>4.0999999999999996</v>
      </c>
      <c r="G12" s="31">
        <f>IF(C12=1,'4_Iterasi_KMeans++'!M20,IF(C12=2,'4_Iterasi_KMeans++'!N20,'4_Iterasi_KMeans++'!O20))</f>
        <v>1.1692569566946582</v>
      </c>
      <c r="H12" s="70">
        <f>('1_Dataset'!F13/5*0.25+'1_Dataset'!G13/5*0.15+'1_Dataset'!H13/5*0.1+'1_Dataset'!I13/5*0.2+'1_Dataset'!J13/5*0.15+MIN('1_Dataset'!K13,20000)/20000*0.15)</f>
        <v>0.59657500000000008</v>
      </c>
      <c r="I12" s="71" t="str">
        <f t="shared" si="1"/>
        <v>Tingkatkan fasilitas &amp; aksesibilitas</v>
      </c>
    </row>
    <row r="13" spans="1:9" ht="15" customHeight="1" x14ac:dyDescent="0.25">
      <c r="A13" s="28">
        <f>'1_Dataset'!A14</f>
        <v>11</v>
      </c>
      <c r="B13" s="18" t="str">
        <f>'1_Dataset'!B14</f>
        <v>Museum Karmawibhangga</v>
      </c>
      <c r="C13" s="33">
        <f>'4_Iterasi_KMeans++'!P21</f>
        <v>3</v>
      </c>
      <c r="D13" s="67" t="str">
        <f t="shared" si="0"/>
        <v>Klaster 3: Potensial</v>
      </c>
      <c r="E13" s="68">
        <f>'1_Dataset'!E14</f>
        <v>87000</v>
      </c>
      <c r="F13" s="69">
        <f>'1_Dataset'!F14</f>
        <v>4</v>
      </c>
      <c r="G13" s="31">
        <f>IF(C13=1,'4_Iterasi_KMeans++'!M21,IF(C13=2,'4_Iterasi_KMeans++'!N21,'4_Iterasi_KMeans++'!O21))</f>
        <v>0</v>
      </c>
      <c r="H13" s="70">
        <f>('1_Dataset'!F14/5*0.25+'1_Dataset'!G14/5*0.15+'1_Dataset'!H14/5*0.1+'1_Dataset'!I14/5*0.2+'1_Dataset'!J14/5*0.15+MIN('1_Dataset'!K14,20000)/20000*0.15)</f>
        <v>0.66487499999999999</v>
      </c>
      <c r="I13" s="71" t="str">
        <f t="shared" si="1"/>
        <v>Eksplorasi &amp; pengembangan awal</v>
      </c>
    </row>
    <row r="14" spans="1:9" ht="15" customHeight="1" x14ac:dyDescent="0.25">
      <c r="A14" s="28">
        <f>'1_Dataset'!A15</f>
        <v>12</v>
      </c>
      <c r="B14" s="18" t="str">
        <f>'1_Dataset'!B15</f>
        <v>Taman Kyai Langgeng</v>
      </c>
      <c r="C14" s="33">
        <f>'4_Iterasi_KMeans++'!P22</f>
        <v>3</v>
      </c>
      <c r="D14" s="67" t="str">
        <f t="shared" si="0"/>
        <v>Klaster 3: Potensial</v>
      </c>
      <c r="E14" s="68">
        <f>'1_Dataset'!E15</f>
        <v>145000</v>
      </c>
      <c r="F14" s="69">
        <f>'1_Dataset'!F15</f>
        <v>3.7</v>
      </c>
      <c r="G14" s="31">
        <f>IF(C14=1,'4_Iterasi_KMeans++'!M22,IF(C14=2,'4_Iterasi_KMeans++'!N22,'4_Iterasi_KMeans++'!O22))</f>
        <v>1.0241689240464953</v>
      </c>
      <c r="H14" s="70">
        <f>('1_Dataset'!F15/5*0.25+'1_Dataset'!G15/5*0.15+'1_Dataset'!H15/5*0.1+'1_Dataset'!I15/5*0.2+'1_Dataset'!J15/5*0.15+MIN('1_Dataset'!K15,20000)/20000*0.15)</f>
        <v>0.60887499999999994</v>
      </c>
      <c r="I14" s="71" t="str">
        <f t="shared" si="1"/>
        <v>Eksplorasi &amp; pengembangan awal</v>
      </c>
    </row>
    <row r="15" spans="1:9" ht="15" customHeight="1" x14ac:dyDescent="0.25">
      <c r="A15" s="28">
        <f>'1_Dataset'!A16</f>
        <v>13</v>
      </c>
      <c r="B15" s="18" t="str">
        <f>'1_Dataset'!B16</f>
        <v>Gunung Andong</v>
      </c>
      <c r="C15" s="33">
        <f>'4_Iterasi_KMeans++'!P23</f>
        <v>2</v>
      </c>
      <c r="D15" s="67" t="str">
        <f t="shared" si="0"/>
        <v>Klaster 2: Berkembang</v>
      </c>
      <c r="E15" s="68">
        <f>'1_Dataset'!E16</f>
        <v>55000</v>
      </c>
      <c r="F15" s="69">
        <f>'1_Dataset'!F16</f>
        <v>4.5</v>
      </c>
      <c r="G15" s="31">
        <f>IF(C15=1,'4_Iterasi_KMeans++'!M23,IF(C15=2,'4_Iterasi_KMeans++'!N23,'4_Iterasi_KMeans++'!O23))</f>
        <v>0.50926590401756022</v>
      </c>
      <c r="H15" s="70">
        <f>('1_Dataset'!F16/5*0.25+'1_Dataset'!G16/5*0.15+'1_Dataset'!H16/5*0.1+'1_Dataset'!I16/5*0.2+'1_Dataset'!J16/5*0.15+MIN('1_Dataset'!K16,20000)/20000*0.15)</f>
        <v>0.58815000000000017</v>
      </c>
      <c r="I15" s="71" t="str">
        <f t="shared" si="1"/>
        <v>Tingkatkan fasilitas &amp; aksesibilitas</v>
      </c>
    </row>
    <row r="16" spans="1:9" ht="15" customHeight="1" x14ac:dyDescent="0.25">
      <c r="A16" s="28">
        <f>'1_Dataset'!A17</f>
        <v>14</v>
      </c>
      <c r="B16" s="18" t="str">
        <f>'1_Dataset'!B17</f>
        <v>Umbul Songo</v>
      </c>
      <c r="C16" s="33">
        <f>'4_Iterasi_KMeans++'!P24</f>
        <v>2</v>
      </c>
      <c r="D16" s="67" t="str">
        <f t="shared" si="0"/>
        <v>Klaster 2: Berkembang</v>
      </c>
      <c r="E16" s="68">
        <f>'1_Dataset'!E17</f>
        <v>32000</v>
      </c>
      <c r="F16" s="69">
        <f>'1_Dataset'!F17</f>
        <v>4.2</v>
      </c>
      <c r="G16" s="31">
        <f>IF(C16=1,'4_Iterasi_KMeans++'!M24,IF(C16=2,'4_Iterasi_KMeans++'!N24,'4_Iterasi_KMeans++'!O24))</f>
        <v>0</v>
      </c>
      <c r="H16" s="70">
        <f>('1_Dataset'!F17/5*0.25+'1_Dataset'!G17/5*0.15+'1_Dataset'!H17/5*0.1+'1_Dataset'!I17/5*0.2+'1_Dataset'!J17/5*0.15+MIN('1_Dataset'!K17,20000)/20000*0.15)</f>
        <v>0.57183750000000011</v>
      </c>
      <c r="I16" s="71" t="str">
        <f t="shared" si="1"/>
        <v>Tingkatkan fasilitas &amp; aksesibilitas</v>
      </c>
    </row>
    <row r="17" spans="1:9" ht="15" customHeight="1" x14ac:dyDescent="0.25">
      <c r="A17" s="28">
        <f>'1_Dataset'!A18</f>
        <v>15</v>
      </c>
      <c r="B17" s="18" t="str">
        <f>'1_Dataset'!B18</f>
        <v>Puthuk Mongkrong</v>
      </c>
      <c r="C17" s="33">
        <f>'4_Iterasi_KMeans++'!P25</f>
        <v>2</v>
      </c>
      <c r="D17" s="67" t="str">
        <f t="shared" si="0"/>
        <v>Klaster 2: Berkembang</v>
      </c>
      <c r="E17" s="68">
        <f>'1_Dataset'!E18</f>
        <v>45000</v>
      </c>
      <c r="F17" s="69">
        <f>'1_Dataset'!F18</f>
        <v>4.3</v>
      </c>
      <c r="G17" s="31">
        <f>IF(C17=1,'4_Iterasi_KMeans++'!M25,IF(C17=2,'4_Iterasi_KMeans++'!N25,'4_Iterasi_KMeans++'!O25))</f>
        <v>1.5600870111055283</v>
      </c>
      <c r="H17" s="70">
        <f>('1_Dataset'!F18/5*0.25+'1_Dataset'!G18/5*0.15+'1_Dataset'!H18/5*0.1+'1_Dataset'!I18/5*0.2+'1_Dataset'!J18/5*0.15+MIN('1_Dataset'!K18,20000)/20000*0.15)</f>
        <v>0.63785000000000014</v>
      </c>
      <c r="I17" s="71" t="str">
        <f t="shared" si="1"/>
        <v>Tingkatkan fasilitas &amp; aksesibilitas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zoomScaleNormal="100" workbookViewId="0">
      <selection activeCell="F41" sqref="F41"/>
    </sheetView>
  </sheetViews>
  <sheetFormatPr defaultColWidth="8.7109375" defaultRowHeight="15" x14ac:dyDescent="0.25"/>
  <cols>
    <col min="1" max="1" width="18" style="15" customWidth="1"/>
    <col min="2" max="2" width="30" style="15" customWidth="1"/>
    <col min="3" max="4" width="18" style="15" customWidth="1"/>
    <col min="5" max="6" width="14" style="15" customWidth="1"/>
    <col min="7" max="7" width="20" style="15" customWidth="1"/>
  </cols>
  <sheetData>
    <row r="1" spans="1:8" ht="27.75" customHeight="1" x14ac:dyDescent="0.25">
      <c r="A1" s="116" t="s">
        <v>150</v>
      </c>
      <c r="B1" s="116"/>
      <c r="C1" s="116"/>
      <c r="D1" s="116"/>
      <c r="E1" s="116"/>
      <c r="F1" s="116"/>
      <c r="G1" s="116"/>
      <c r="H1" s="116"/>
    </row>
    <row r="3" spans="1:8" ht="15" customHeight="1" x14ac:dyDescent="0.25">
      <c r="A3" s="8" t="s">
        <v>151</v>
      </c>
      <c r="B3" s="8"/>
      <c r="C3" s="8"/>
      <c r="D3" s="8"/>
      <c r="E3" s="8"/>
      <c r="F3" s="8"/>
      <c r="G3" s="8"/>
      <c r="H3" s="8"/>
    </row>
    <row r="4" spans="1:8" ht="15" customHeight="1" x14ac:dyDescent="0.25">
      <c r="A4" s="117" t="s">
        <v>218</v>
      </c>
      <c r="B4" s="117"/>
      <c r="C4" s="117"/>
      <c r="D4" s="117"/>
      <c r="E4" s="117"/>
      <c r="F4" s="117"/>
      <c r="G4" s="117"/>
      <c r="H4" s="117"/>
    </row>
    <row r="5" spans="1:8" ht="15" customHeight="1" x14ac:dyDescent="0.25">
      <c r="A5" s="16" t="s">
        <v>34</v>
      </c>
      <c r="B5" s="16" t="s">
        <v>114</v>
      </c>
      <c r="C5" s="16" t="s">
        <v>138</v>
      </c>
      <c r="D5" s="16" t="s">
        <v>153</v>
      </c>
      <c r="E5" s="16" t="s">
        <v>154</v>
      </c>
      <c r="F5" s="16" t="s">
        <v>155</v>
      </c>
      <c r="G5" s="16" t="s">
        <v>156</v>
      </c>
    </row>
    <row r="6" spans="1:8" ht="15" customHeight="1" x14ac:dyDescent="0.25">
      <c r="A6" s="24">
        <v>1</v>
      </c>
      <c r="B6" s="18" t="s">
        <v>47</v>
      </c>
      <c r="C6" s="72">
        <f>'4_Iterasi_KMeans++'!C69</f>
        <v>1</v>
      </c>
      <c r="D6" s="22">
        <f>'4_Iterasi_KMeans++'!D69</f>
        <v>0</v>
      </c>
      <c r="E6" s="22">
        <f>'4_Iterasi_KMeans++'!E69</f>
        <v>1.5800553004237925</v>
      </c>
      <c r="F6" s="73">
        <f t="shared" ref="F6:F20" si="0">(E6-D6)/MAX(D6,E6)</f>
        <v>1</v>
      </c>
      <c r="G6" s="37" t="str">
        <f t="shared" ref="G6:G20" si="1">IF(F6&gt;0.7,"Sangat Baik",IF(F6&gt;0.5,"Baik",IF(F6&gt;0.25,"Lemah","Salah Klaster")))</f>
        <v>Sangat Baik</v>
      </c>
    </row>
    <row r="7" spans="1:8" ht="15" customHeight="1" x14ac:dyDescent="0.25">
      <c r="A7" s="24">
        <v>2</v>
      </c>
      <c r="B7" s="18" t="s">
        <v>49</v>
      </c>
      <c r="C7" s="72">
        <f>'4_Iterasi_KMeans++'!C70</f>
        <v>3</v>
      </c>
      <c r="D7" s="22">
        <f>'4_Iterasi_KMeans++'!D70</f>
        <v>0.77519018004277795</v>
      </c>
      <c r="E7" s="22">
        <f>'4_Iterasi_KMeans++'!E70</f>
        <v>1.0050162396933588</v>
      </c>
      <c r="F7" s="73">
        <f t="shared" si="0"/>
        <v>0.22867895121844325</v>
      </c>
      <c r="G7" s="37" t="str">
        <f t="shared" si="1"/>
        <v>Salah Klaster</v>
      </c>
    </row>
    <row r="8" spans="1:8" ht="15" customHeight="1" x14ac:dyDescent="0.25">
      <c r="A8" s="24">
        <v>3</v>
      </c>
      <c r="B8" s="18" t="s">
        <v>50</v>
      </c>
      <c r="C8" s="72">
        <f>'4_Iterasi_KMeans++'!C71</f>
        <v>3</v>
      </c>
      <c r="D8" s="22">
        <f>'4_Iterasi_KMeans++'!D71</f>
        <v>0.36278019329147648</v>
      </c>
      <c r="E8" s="22">
        <f>'4_Iterasi_KMeans++'!E71</f>
        <v>1.4035949688158527</v>
      </c>
      <c r="F8" s="73">
        <f t="shared" si="0"/>
        <v>0.74153498598136391</v>
      </c>
      <c r="G8" s="37" t="str">
        <f t="shared" si="1"/>
        <v>Sangat Baik</v>
      </c>
    </row>
    <row r="9" spans="1:8" ht="15" customHeight="1" x14ac:dyDescent="0.25">
      <c r="A9" s="24">
        <v>4</v>
      </c>
      <c r="B9" s="18" t="s">
        <v>52</v>
      </c>
      <c r="C9" s="72">
        <f>'4_Iterasi_KMeans++'!C72</f>
        <v>3</v>
      </c>
      <c r="D9" s="22">
        <f>'4_Iterasi_KMeans++'!D72</f>
        <v>0.34478079496355146</v>
      </c>
      <c r="E9" s="22">
        <f>'4_Iterasi_KMeans++'!E72</f>
        <v>1.4476874249863023</v>
      </c>
      <c r="F9" s="73">
        <f t="shared" si="0"/>
        <v>0.76184030543277415</v>
      </c>
      <c r="G9" s="37" t="str">
        <f t="shared" si="1"/>
        <v>Sangat Baik</v>
      </c>
    </row>
    <row r="10" spans="1:8" ht="15" customHeight="1" x14ac:dyDescent="0.25">
      <c r="A10" s="24">
        <v>5</v>
      </c>
      <c r="B10" s="18" t="s">
        <v>53</v>
      </c>
      <c r="C10" s="72">
        <f>'4_Iterasi_KMeans++'!C73</f>
        <v>2</v>
      </c>
      <c r="D10" s="22">
        <f>'4_Iterasi_KMeans++'!D73</f>
        <v>0.82773776632080598</v>
      </c>
      <c r="E10" s="22">
        <f>'4_Iterasi_KMeans++'!E73</f>
        <v>0.84566051813304</v>
      </c>
      <c r="F10" s="73">
        <f t="shared" si="0"/>
        <v>2.1193790448916755E-2</v>
      </c>
      <c r="G10" s="37" t="str">
        <f t="shared" si="1"/>
        <v>Salah Klaster</v>
      </c>
    </row>
    <row r="11" spans="1:8" ht="15" customHeight="1" x14ac:dyDescent="0.25">
      <c r="A11" s="24">
        <v>6</v>
      </c>
      <c r="B11" s="18" t="s">
        <v>54</v>
      </c>
      <c r="C11" s="72">
        <f>'4_Iterasi_KMeans++'!C74</f>
        <v>2</v>
      </c>
      <c r="D11" s="22">
        <f>'4_Iterasi_KMeans++'!D74</f>
        <v>0.93113713735560311</v>
      </c>
      <c r="E11" s="22">
        <f>'4_Iterasi_KMeans++'!E74</f>
        <v>1.5146217790584626</v>
      </c>
      <c r="F11" s="73">
        <f t="shared" si="0"/>
        <v>0.38523455147038244</v>
      </c>
      <c r="G11" s="37" t="str">
        <f t="shared" si="1"/>
        <v>Lemah</v>
      </c>
    </row>
    <row r="12" spans="1:8" ht="15" customHeight="1" x14ac:dyDescent="0.25">
      <c r="A12" s="24">
        <v>7</v>
      </c>
      <c r="B12" s="18" t="s">
        <v>56</v>
      </c>
      <c r="C12" s="72">
        <f>'4_Iterasi_KMeans++'!C75</f>
        <v>2</v>
      </c>
      <c r="D12" s="22">
        <f>'4_Iterasi_KMeans++'!D75</f>
        <v>0.448095960584736</v>
      </c>
      <c r="E12" s="22">
        <f>'4_Iterasi_KMeans++'!E75</f>
        <v>1.3009661721780479</v>
      </c>
      <c r="F12" s="73">
        <f t="shared" si="0"/>
        <v>0.65556678554174552</v>
      </c>
      <c r="G12" s="37" t="str">
        <f t="shared" si="1"/>
        <v>Baik</v>
      </c>
    </row>
    <row r="13" spans="1:8" ht="15" customHeight="1" x14ac:dyDescent="0.25">
      <c r="A13" s="24">
        <v>8</v>
      </c>
      <c r="B13" s="18" t="s">
        <v>57</v>
      </c>
      <c r="C13" s="72">
        <f>'4_Iterasi_KMeans++'!C76</f>
        <v>2</v>
      </c>
      <c r="D13" s="22">
        <f>'4_Iterasi_KMeans++'!D76</f>
        <v>0.51589915189981128</v>
      </c>
      <c r="E13" s="22">
        <f>'4_Iterasi_KMeans++'!E76</f>
        <v>1.3453148948411631</v>
      </c>
      <c r="F13" s="73">
        <f t="shared" si="0"/>
        <v>0.61652163825873507</v>
      </c>
      <c r="G13" s="37" t="str">
        <f t="shared" si="1"/>
        <v>Baik</v>
      </c>
    </row>
    <row r="14" spans="1:8" ht="15" customHeight="1" x14ac:dyDescent="0.25">
      <c r="A14" s="24">
        <v>9</v>
      </c>
      <c r="B14" s="18" t="s">
        <v>219</v>
      </c>
      <c r="C14" s="72">
        <f>'4_Iterasi_KMeans++'!C77</f>
        <v>3</v>
      </c>
      <c r="D14" s="22">
        <f>'4_Iterasi_KMeans++'!D77</f>
        <v>0.77581573210095101</v>
      </c>
      <c r="E14" s="22">
        <f>'4_Iterasi_KMeans++'!E77</f>
        <v>1.0417202898073483</v>
      </c>
      <c r="F14" s="73">
        <f t="shared" si="0"/>
        <v>0.25525523531424416</v>
      </c>
      <c r="G14" s="37" t="str">
        <f t="shared" si="1"/>
        <v>Lemah</v>
      </c>
    </row>
    <row r="15" spans="1:8" ht="15" customHeight="1" x14ac:dyDescent="0.25">
      <c r="A15" s="24">
        <v>10</v>
      </c>
      <c r="B15" s="18" t="s">
        <v>59</v>
      </c>
      <c r="C15" s="72">
        <f>'4_Iterasi_KMeans++'!C78</f>
        <v>2</v>
      </c>
      <c r="D15" s="22">
        <f>'4_Iterasi_KMeans++'!D78</f>
        <v>0.54919201601264234</v>
      </c>
      <c r="E15" s="22">
        <f>'4_Iterasi_KMeans++'!E78</f>
        <v>1.1544963621287927</v>
      </c>
      <c r="F15" s="73">
        <f t="shared" si="0"/>
        <v>0.52430164872933926</v>
      </c>
      <c r="G15" s="37" t="str">
        <f t="shared" si="1"/>
        <v>Baik</v>
      </c>
    </row>
    <row r="16" spans="1:8" ht="15" customHeight="1" x14ac:dyDescent="0.25">
      <c r="A16" s="24">
        <v>11</v>
      </c>
      <c r="B16" s="18" t="s">
        <v>60</v>
      </c>
      <c r="C16" s="72">
        <f>'4_Iterasi_KMeans++'!C79</f>
        <v>3</v>
      </c>
      <c r="D16" s="22">
        <f>'4_Iterasi_KMeans++'!D79</f>
        <v>0.72517483663866145</v>
      </c>
      <c r="E16" s="22">
        <f>'4_Iterasi_KMeans++'!E79</f>
        <v>1.7333118252596373</v>
      </c>
      <c r="F16" s="73">
        <f t="shared" si="0"/>
        <v>0.58162471052775766</v>
      </c>
      <c r="G16" s="37" t="str">
        <f t="shared" si="1"/>
        <v>Baik</v>
      </c>
    </row>
    <row r="17" spans="1:8" ht="15" customHeight="1" x14ac:dyDescent="0.25">
      <c r="A17" s="24">
        <v>12</v>
      </c>
      <c r="B17" s="18" t="s">
        <v>61</v>
      </c>
      <c r="C17" s="72">
        <f>'4_Iterasi_KMeans++'!C80</f>
        <v>3</v>
      </c>
      <c r="D17" s="22">
        <f>'4_Iterasi_KMeans++'!D80</f>
        <v>0.84880790383720495</v>
      </c>
      <c r="E17" s="22">
        <f>'4_Iterasi_KMeans++'!E80</f>
        <v>1.2720467865881915</v>
      </c>
      <c r="F17" s="73">
        <f t="shared" si="0"/>
        <v>0.3327227325389287</v>
      </c>
      <c r="G17" s="37" t="str">
        <f t="shared" si="1"/>
        <v>Lemah</v>
      </c>
    </row>
    <row r="18" spans="1:8" ht="15" customHeight="1" x14ac:dyDescent="0.25">
      <c r="A18" s="24">
        <v>13</v>
      </c>
      <c r="B18" s="18" t="s">
        <v>62</v>
      </c>
      <c r="C18" s="72">
        <f>'4_Iterasi_KMeans++'!C81</f>
        <v>2</v>
      </c>
      <c r="D18" s="22">
        <f>'4_Iterasi_KMeans++'!D81</f>
        <v>0.68896040816958615</v>
      </c>
      <c r="E18" s="22">
        <f>'4_Iterasi_KMeans++'!E81</f>
        <v>1.748283929977102</v>
      </c>
      <c r="F18" s="73">
        <f t="shared" si="0"/>
        <v>0.60592190069572405</v>
      </c>
      <c r="G18" s="37" t="str">
        <f t="shared" si="1"/>
        <v>Baik</v>
      </c>
    </row>
    <row r="19" spans="1:8" ht="15" customHeight="1" x14ac:dyDescent="0.25">
      <c r="A19" s="24">
        <v>14</v>
      </c>
      <c r="B19" s="18" t="s">
        <v>63</v>
      </c>
      <c r="C19" s="72">
        <f>'4_Iterasi_KMeans++'!C82</f>
        <v>2</v>
      </c>
      <c r="D19" s="22">
        <f>'4_Iterasi_KMeans++'!D82</f>
        <v>0.70196691967897962</v>
      </c>
      <c r="E19" s="22">
        <f>'4_Iterasi_KMeans++'!E82</f>
        <v>1.7417013484626336</v>
      </c>
      <c r="F19" s="73">
        <f t="shared" si="0"/>
        <v>0.59696481816552982</v>
      </c>
      <c r="G19" s="37" t="str">
        <f t="shared" si="1"/>
        <v>Baik</v>
      </c>
    </row>
    <row r="20" spans="1:8" ht="15" customHeight="1" x14ac:dyDescent="0.25">
      <c r="A20" s="24">
        <v>15</v>
      </c>
      <c r="B20" s="18" t="s">
        <v>64</v>
      </c>
      <c r="C20" s="72">
        <f>'4_Iterasi_KMeans++'!C83</f>
        <v>2</v>
      </c>
      <c r="D20" s="22">
        <f>'4_Iterasi_KMeans++'!D83</f>
        <v>0.98580706344418201</v>
      </c>
      <c r="E20" s="22">
        <f>'4_Iterasi_KMeans++'!E83</f>
        <v>1.2319127603667104</v>
      </c>
      <c r="F20" s="73">
        <f t="shared" si="0"/>
        <v>0.19977526399618484</v>
      </c>
      <c r="G20" s="37" t="str">
        <f t="shared" si="1"/>
        <v>Salah Klaster</v>
      </c>
    </row>
    <row r="22" spans="1:8" ht="23.25" customHeight="1" x14ac:dyDescent="0.25">
      <c r="E22" s="74" t="s">
        <v>157</v>
      </c>
      <c r="F22" s="75">
        <f>AVERAGE(F6:F20)</f>
        <v>0.50047582122133805</v>
      </c>
      <c r="G22" s="37" t="str">
        <f>IF(F22&gt;0.7,"Sangat Baik ✓",IF(F22&gt;0.5,"Baik ✓",IF(F22&gt;0.25,"Lemah","Buruk ✗")))</f>
        <v>Baik ✓</v>
      </c>
    </row>
    <row r="24" spans="1:8" ht="15" customHeight="1" x14ac:dyDescent="0.25">
      <c r="A24" s="8" t="s">
        <v>158</v>
      </c>
      <c r="B24" s="8"/>
      <c r="C24" s="8"/>
      <c r="D24" s="8"/>
      <c r="E24" s="8"/>
      <c r="F24" s="8"/>
      <c r="G24" s="8"/>
      <c r="H24" s="8"/>
    </row>
    <row r="25" spans="1:8" ht="15" customHeight="1" x14ac:dyDescent="0.25">
      <c r="A25" s="117" t="s">
        <v>220</v>
      </c>
      <c r="B25" s="117"/>
      <c r="C25" s="117"/>
      <c r="D25" s="117"/>
      <c r="E25" s="117"/>
      <c r="F25" s="117"/>
      <c r="G25" s="117"/>
      <c r="H25" s="117"/>
    </row>
    <row r="26" spans="1:8" ht="15" customHeight="1" x14ac:dyDescent="0.25">
      <c r="A26" s="16" t="s">
        <v>160</v>
      </c>
      <c r="B26" s="16" t="s">
        <v>161</v>
      </c>
      <c r="C26" s="16" t="s">
        <v>162</v>
      </c>
      <c r="D26" s="16" t="s">
        <v>163</v>
      </c>
      <c r="E26" s="16" t="s">
        <v>164</v>
      </c>
      <c r="F26" s="16" t="s">
        <v>165</v>
      </c>
      <c r="G26" s="16" t="s">
        <v>166</v>
      </c>
    </row>
    <row r="27" spans="1:8" ht="15" customHeight="1" x14ac:dyDescent="0.25">
      <c r="A27" s="24">
        <v>1</v>
      </c>
      <c r="B27" s="22">
        <f>'4_Iterasi_KMeans++'!B89</f>
        <v>0</v>
      </c>
      <c r="C27" s="24">
        <v>2</v>
      </c>
      <c r="D27" s="22">
        <f>'4_Iterasi_KMeans++'!D89</f>
        <v>0.7060995529332933</v>
      </c>
      <c r="E27" s="31">
        <f>SQRT(('4_Iterasi_KMeans++'!C29-'4_Iterasi_KMeans++'!C30)^2+('4_Iterasi_KMeans++'!D29-'4_Iterasi_KMeans++'!D30)^2+('4_Iterasi_KMeans++'!E29-'4_Iterasi_KMeans++'!E30)^2+('4_Iterasi_KMeans++'!F29-'4_Iterasi_KMeans++'!F30)^2+('4_Iterasi_KMeans++'!G29-'4_Iterasi_KMeans++'!G30)^2+('4_Iterasi_KMeans++'!H29-'4_Iterasi_KMeans++'!H30)^2+('4_Iterasi_KMeans++'!I29-'4_Iterasi_KMeans++'!I30)^2+('4_Iterasi_KMeans++'!J29-'4_Iterasi_KMeans++'!J30)^2+('4_Iterasi_KMeans++'!K29-'4_Iterasi_KMeans++'!K30)^2+('4_Iterasi_KMeans++'!L29-'4_Iterasi_KMeans++'!L30)^2)</f>
        <v>2.251745248573592</v>
      </c>
      <c r="F27" s="73">
        <f>(B27+D27)/E27</f>
        <v>0.31357879110906733</v>
      </c>
      <c r="G27" s="29">
        <f>'4_Iterasi_KMeans++'!G89</f>
        <v>0.40426323895611765</v>
      </c>
    </row>
    <row r="28" spans="1:8" ht="15" customHeight="1" x14ac:dyDescent="0.25">
      <c r="A28" s="24">
        <v>2</v>
      </c>
      <c r="B28" s="22">
        <f>'4_Iterasi_KMeans++'!B90</f>
        <v>0.7060995529332933</v>
      </c>
      <c r="C28" s="24">
        <v>3</v>
      </c>
      <c r="D28" s="22">
        <f>'4_Iterasi_KMeans++'!D90</f>
        <v>0.63875827347910386</v>
      </c>
      <c r="E28" s="31">
        <f>SQRT(('4_Iterasi_KMeans++'!C30-'4_Iterasi_KMeans++'!C31)^2+('4_Iterasi_KMeans++'!D30-'4_Iterasi_KMeans++'!D31)^2+('4_Iterasi_KMeans++'!E30-'4_Iterasi_KMeans++'!E31)^2+('4_Iterasi_KMeans++'!F30-'4_Iterasi_KMeans++'!F31)^2+('4_Iterasi_KMeans++'!G30-'4_Iterasi_KMeans++'!G31)^2+('4_Iterasi_KMeans++'!H30-'4_Iterasi_KMeans++'!H31)^2+('4_Iterasi_KMeans++'!I30-'4_Iterasi_KMeans++'!I31)^2+('4_Iterasi_KMeans++'!J30-'4_Iterasi_KMeans++'!J31)^2+('4_Iterasi_KMeans++'!K30-'4_Iterasi_KMeans++'!K31)^2+('4_Iterasi_KMeans++'!L30-'4_Iterasi_KMeans++'!L31)^2)</f>
        <v>1.1828005769686474</v>
      </c>
      <c r="F28" s="73">
        <f>(B28+D28)/E28</f>
        <v>1.1370114731082392</v>
      </c>
      <c r="G28" s="29">
        <f>'4_Iterasi_KMeans++'!G90</f>
        <v>1.1370114731082392</v>
      </c>
    </row>
    <row r="29" spans="1:8" ht="15" customHeight="1" x14ac:dyDescent="0.25">
      <c r="A29" s="24">
        <v>3</v>
      </c>
      <c r="B29" s="22">
        <f>'4_Iterasi_KMeans++'!B91</f>
        <v>0.63875827347910386</v>
      </c>
      <c r="C29" s="24">
        <v>1</v>
      </c>
      <c r="D29" s="22">
        <f>'4_Iterasi_KMeans++'!D91</f>
        <v>0</v>
      </c>
      <c r="E29" s="31">
        <f>SQRT(('4_Iterasi_KMeans++'!C31-'4_Iterasi_KMeans++'!C29)^2+('4_Iterasi_KMeans++'!D31-'4_Iterasi_KMeans++'!D29)^2+('4_Iterasi_KMeans++'!E31-'4_Iterasi_KMeans++'!E29)^2+('4_Iterasi_KMeans++'!F31-'4_Iterasi_KMeans++'!F29)^2+('4_Iterasi_KMeans++'!G31-'4_Iterasi_KMeans++'!G29)^2+('4_Iterasi_KMeans++'!H31-'4_Iterasi_KMeans++'!H29)^2+('4_Iterasi_KMeans++'!I31-'4_Iterasi_KMeans++'!I29)^2+('4_Iterasi_KMeans++'!J31-'4_Iterasi_KMeans++'!J29)^2+('4_Iterasi_KMeans++'!K31-'4_Iterasi_KMeans++'!K29)^2+('4_Iterasi_KMeans++'!L31-'4_Iterasi_KMeans++'!L29)^2)</f>
        <v>1.5800553004237925</v>
      </c>
      <c r="F29" s="73">
        <f>(B29+D29)/E29</f>
        <v>0.40426323895611765</v>
      </c>
      <c r="G29" s="29">
        <f>'4_Iterasi_KMeans++'!G91</f>
        <v>1.1370114731082392</v>
      </c>
    </row>
    <row r="31" spans="1:8" ht="15" customHeight="1" x14ac:dyDescent="0.25">
      <c r="F31" s="74" t="s">
        <v>167</v>
      </c>
      <c r="G31" s="75">
        <f>AVERAGE(G27:G29)</f>
        <v>0.89276206172419881</v>
      </c>
    </row>
    <row r="33" spans="1:8" ht="15" customHeight="1" x14ac:dyDescent="0.25">
      <c r="A33" s="8" t="s">
        <v>168</v>
      </c>
      <c r="B33" s="8"/>
      <c r="C33" s="8"/>
      <c r="D33" s="8"/>
      <c r="E33" s="8"/>
      <c r="F33" s="8"/>
      <c r="G33" s="8"/>
      <c r="H33" s="8"/>
    </row>
    <row r="34" spans="1:8" ht="63.75" customHeight="1" x14ac:dyDescent="0.25">
      <c r="A34" s="118" t="s">
        <v>221</v>
      </c>
      <c r="B34" s="118"/>
      <c r="C34" s="118"/>
      <c r="D34" s="118"/>
      <c r="E34" s="118"/>
      <c r="F34" s="118"/>
      <c r="G34" s="118"/>
      <c r="H34" s="118"/>
    </row>
    <row r="36" spans="1:8" ht="15" customHeight="1" x14ac:dyDescent="0.25">
      <c r="A36" s="103" t="s">
        <v>170</v>
      </c>
      <c r="B36" s="103"/>
      <c r="C36" s="30">
        <f>COUNTA('1_Dataset'!A4:A18)</f>
        <v>15</v>
      </c>
    </row>
    <row r="37" spans="1:8" ht="15" customHeight="1" x14ac:dyDescent="0.25">
      <c r="A37" s="103" t="s">
        <v>171</v>
      </c>
      <c r="B37" s="103"/>
      <c r="C37" s="30">
        <f>3</f>
        <v>3</v>
      </c>
    </row>
    <row r="38" spans="1:8" ht="15" customHeight="1" x14ac:dyDescent="0.25">
      <c r="A38" s="103" t="s">
        <v>142</v>
      </c>
      <c r="B38" s="103"/>
      <c r="C38" s="30">
        <f>'4_Iterasi_KMeans++'!C61</f>
        <v>6.9596060722579232</v>
      </c>
    </row>
    <row r="39" spans="1:8" ht="15" customHeight="1" x14ac:dyDescent="0.25">
      <c r="A39" s="103" t="s">
        <v>172</v>
      </c>
      <c r="B39" s="103"/>
      <c r="C39" s="30">
        <f>AVERAGE('2_Normalisasi'!C8:C22)</f>
        <v>0.3111213376284826</v>
      </c>
    </row>
    <row r="40" spans="1:8" ht="15" customHeight="1" x14ac:dyDescent="0.25">
      <c r="A40" s="103" t="s">
        <v>173</v>
      </c>
      <c r="B40" s="103"/>
      <c r="C40" s="30">
        <f>AVERAGE('2_Normalisasi'!D8:D22)</f>
        <v>0.28654732845131609</v>
      </c>
    </row>
    <row r="41" spans="1:8" ht="15" customHeight="1" x14ac:dyDescent="0.25">
      <c r="A41" s="103" t="s">
        <v>174</v>
      </c>
      <c r="B41" s="103"/>
      <c r="C41" s="30">
        <f>AVERAGE('2_Normalisasi'!E8:E22)</f>
        <v>0.11876704855428262</v>
      </c>
    </row>
    <row r="42" spans="1:8" ht="15" customHeight="1" x14ac:dyDescent="0.25">
      <c r="A42" s="103" t="s">
        <v>175</v>
      </c>
      <c r="B42" s="103"/>
      <c r="C42" s="30">
        <f>AVERAGE('2_Normalisasi'!F8:F22)</f>
        <v>0.47777777777777758</v>
      </c>
    </row>
    <row r="43" spans="1:8" ht="15" customHeight="1" x14ac:dyDescent="0.25">
      <c r="A43" s="103" t="s">
        <v>182</v>
      </c>
      <c r="B43" s="103"/>
      <c r="C43" s="30">
        <f>COUNTIF('4_Iterasi_KMeans++'!P11:P25,1)*((AVERAGEIF('4_Iterasi_KMeans++'!P11:P25,1,'2_Normalisasi'!C8:C22)-AVERAGE('2_Normalisasi'!C8:C22))^2+(AVERAGEIF('4_Iterasi_KMeans++'!P11:P25,1,'2_Normalisasi'!D8:D22)-AVERAGE('2_Normalisasi'!D8:D22))^2+(AVERAGEIF('4_Iterasi_KMeans++'!P11:P25,1,'2_Normalisasi'!E8:E22)-AVERAGE('2_Normalisasi'!E8:E22))^2+(AVERAGEIF('4_Iterasi_KMeans++'!P11:P25,1,'2_Normalisasi'!F8:F22)-AVERAGE('2_Normalisasi'!F8:F22))^2+(AVERAGEIF('4_Iterasi_KMeans++'!P11:P25,1,'2_Normalisasi'!G8:G22)-AVERAGE('2_Normalisasi'!G8:G22))^2+(AVERAGEIF('4_Iterasi_KMeans++'!P11:P25,1,'2_Normalisasi'!H8:H22)-AVERAGE('2_Normalisasi'!H8:H22))^2+(AVERAGEIF('4_Iterasi_KMeans++'!P11:P25,1,'2_Normalisasi'!I8:I22)-AVERAGE('2_Normalisasi'!I8:I22))^2+(AVERAGEIF('4_Iterasi_KMeans++'!P11:P25,1,'2_Normalisasi'!J8:J22)-AVERAGE('2_Normalisasi'!J8:J22))^2+(AVERAGEIF('4_Iterasi_KMeans++'!P11:P25,1,'2_Normalisasi'!K8:K22)-AVERAGE('2_Normalisasi'!K8:K22))^2+(AVERAGEIF('4_Iterasi_KMeans++'!P11:P25,1,'2_Normalisasi'!L8:L22)-AVERAGE('2_Normalisasi'!L8:L22))^2)+COUNTIF('4_Iterasi_KMeans++'!P11:P25,2)*((AVERAGEIF('4_Iterasi_KMeans++'!P11:P25,2,'2_Normalisasi'!C8:C22)-AVERAGE('2_Normalisasi'!C8:C22))^2+(AVERAGEIF('4_Iterasi_KMeans++'!P11:P25,2,'2_Normalisasi'!D8:D22)-AVERAGE('2_Normalisasi'!D8:D22))^2+(AVERAGEIF('4_Iterasi_KMeans++'!P11:P25,2,'2_Normalisasi'!E8:E22)-AVERAGE('2_Normalisasi'!E8:E22))^2+(AVERAGEIF('4_Iterasi_KMeans++'!P11:P25,2,'2_Normalisasi'!F8:F22)-AVERAGE('2_Normalisasi'!F8:F22))^2+(AVERAGEIF('4_Iterasi_KMeans++'!P11:P25,2,'2_Normalisasi'!G8:G22)-AVERAGE('2_Normalisasi'!G8:G22))^2+(AVERAGEIF('4_Iterasi_KMeans++'!P11:P25,2,'2_Normalisasi'!H8:H22)-AVERAGE('2_Normalisasi'!H8:H22))^2+(AVERAGEIF('4_Iterasi_KMeans++'!P11:P25,2,'2_Normalisasi'!I8:I22)-AVERAGE('2_Normalisasi'!I8:I22))^2+(AVERAGEIF('4_Iterasi_KMeans++'!P11:P25,2,'2_Normalisasi'!J8:J22)-AVERAGE('2_Normalisasi'!J8:J22))^2+(AVERAGEIF('4_Iterasi_KMeans++'!P11:P25,2,'2_Normalisasi'!K8:K22)-AVERAGE('2_Normalisasi'!K8:K22))^2+(AVERAGEIF('4_Iterasi_KMeans++'!P11:P25,2,'2_Normalisasi'!L8:L22)-AVERAGE('2_Normalisasi'!L8:L22))^2)+COUNTIF('4_Iterasi_KMeans++'!P11:P25,3)*((AVERAGEIF('4_Iterasi_KMeans++'!P11:P25,3,'2_Normalisasi'!C8:C22)-AVERAGE('2_Normalisasi'!C8:C22))^2+(AVERAGEIF('4_Iterasi_KMeans++'!P11:P25,3,'2_Normalisasi'!D8:D22)-AVERAGE('2_Normalisasi'!D8:D22))^2+(AVERAGEIF('4_Iterasi_KMeans++'!P11:P25,3,'2_Normalisasi'!E8:E22)-AVERAGE('2_Normalisasi'!E8:E22))^2+(AVERAGEIF('4_Iterasi_KMeans++'!P11:P25,3,'2_Normalisasi'!F8:F22)-AVERAGE('2_Normalisasi'!F8:F22))^2+(AVERAGEIF('4_Iterasi_KMeans++'!P11:P25,3,'2_Normalisasi'!G8:G22)-AVERAGE('2_Normalisasi'!G8:G22))^2+(AVERAGEIF('4_Iterasi_KMeans++'!P11:P25,3,'2_Normalisasi'!H8:H22)-AVERAGE('2_Normalisasi'!H8:H22))^2+(AVERAGEIF('4_Iterasi_KMeans++'!P11:P25,3,'2_Normalisasi'!I8:I22)-AVERAGE('2_Normalisasi'!I8:I22))^2+(AVERAGEIF('4_Iterasi_KMeans++'!P11:P25,3,'2_Normalisasi'!J8:J22)-AVERAGE('2_Normalisasi'!J8:J22))^2+(AVERAGEIF('4_Iterasi_KMeans++'!P11:P25,3,'2_Normalisasi'!K8:K22)-AVERAGE('2_Normalisasi'!K8:K22))^2+(AVERAGEIF('4_Iterasi_KMeans++'!P11:P25,3,'2_Normalisasi'!L8:L22)-AVERAGE('2_Normalisasi'!L8:L22))^2)</f>
        <v>8.1796751776191634</v>
      </c>
    </row>
    <row r="44" spans="1:8" ht="15" customHeight="1" x14ac:dyDescent="0.25">
      <c r="A44" s="103" t="s">
        <v>183</v>
      </c>
      <c r="B44" s="103"/>
      <c r="C44" s="30">
        <f>(C43/(C37-1))/(C38/(C36-C37))</f>
        <v>7.0518432445979613</v>
      </c>
    </row>
    <row r="45" spans="1:8" ht="15" customHeight="1" x14ac:dyDescent="0.25">
      <c r="A45" s="119" t="s">
        <v>184</v>
      </c>
      <c r="B45" s="119"/>
      <c r="C45" s="119"/>
      <c r="D45" s="119"/>
      <c r="E45" s="119"/>
      <c r="F45" s="119"/>
      <c r="G45" s="119"/>
      <c r="H45" s="119"/>
    </row>
    <row r="46" spans="1:8" ht="15" customHeight="1" x14ac:dyDescent="0.25">
      <c r="A46" s="16" t="s">
        <v>185</v>
      </c>
      <c r="B46" s="16" t="s">
        <v>186</v>
      </c>
      <c r="C46" s="16" t="s">
        <v>187</v>
      </c>
      <c r="D46" s="16" t="s">
        <v>188</v>
      </c>
      <c r="E46" s="16" t="s">
        <v>156</v>
      </c>
    </row>
    <row r="47" spans="1:8" ht="21.75" customHeight="1" x14ac:dyDescent="0.25">
      <c r="A47" s="17" t="s">
        <v>189</v>
      </c>
      <c r="B47" s="76">
        <f>F22</f>
        <v>0.50047582122133805</v>
      </c>
      <c r="C47" s="28" t="s">
        <v>190</v>
      </c>
      <c r="D47" s="77" t="str">
        <f>IF(B47&gt;0.5,"✓ Baik","✗ Perlu Perbaikan")</f>
        <v>✓ Baik</v>
      </c>
      <c r="E47" s="11" t="s">
        <v>191</v>
      </c>
      <c r="F47" s="11"/>
      <c r="G47" s="11"/>
      <c r="H47" s="11"/>
    </row>
    <row r="48" spans="1:8" ht="21.75" customHeight="1" x14ac:dyDescent="0.25">
      <c r="A48" s="17" t="s">
        <v>192</v>
      </c>
      <c r="B48" s="76">
        <f>G31</f>
        <v>0.89276206172419881</v>
      </c>
      <c r="C48" s="28" t="s">
        <v>193</v>
      </c>
      <c r="D48" s="77" t="str">
        <f>IF(B48&lt;1,"✓ Baik","✗ Perlu Perbaikan")</f>
        <v>✓ Baik</v>
      </c>
      <c r="E48" s="11" t="s">
        <v>194</v>
      </c>
      <c r="F48" s="11"/>
      <c r="G48" s="11"/>
      <c r="H48" s="11"/>
    </row>
    <row r="49" spans="1:8" ht="21.75" customHeight="1" x14ac:dyDescent="0.25">
      <c r="A49" s="17" t="s">
        <v>195</v>
      </c>
      <c r="B49" s="76">
        <f>C44</f>
        <v>7.0518432445979613</v>
      </c>
      <c r="C49" s="28" t="s">
        <v>196</v>
      </c>
      <c r="D49" s="77" t="str">
        <f>IF(B49&gt;100,"✓ Baik","✗ Perlu Perbaikan")</f>
        <v>✗ Perlu Perbaikan</v>
      </c>
      <c r="E49" s="11" t="s">
        <v>197</v>
      </c>
      <c r="F49" s="11"/>
      <c r="G49" s="11"/>
      <c r="H49" s="11"/>
    </row>
  </sheetData>
  <mergeCells count="20">
    <mergeCell ref="A44:B44"/>
    <mergeCell ref="A45:H45"/>
    <mergeCell ref="E47:H47"/>
    <mergeCell ref="E48:H48"/>
    <mergeCell ref="E49:H49"/>
    <mergeCell ref="A39:B39"/>
    <mergeCell ref="A40:B40"/>
    <mergeCell ref="A41:B41"/>
    <mergeCell ref="A42:B42"/>
    <mergeCell ref="A43:B43"/>
    <mergeCell ref="A33:H33"/>
    <mergeCell ref="A34:H34"/>
    <mergeCell ref="A36:B36"/>
    <mergeCell ref="A37:B37"/>
    <mergeCell ref="A38:B38"/>
    <mergeCell ref="A1:H1"/>
    <mergeCell ref="A3:H3"/>
    <mergeCell ref="A4:H4"/>
    <mergeCell ref="A24:H24"/>
    <mergeCell ref="A25:H2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zoomScaleNormal="100" workbookViewId="0"/>
  </sheetViews>
  <sheetFormatPr defaultColWidth="8.7109375" defaultRowHeight="15" x14ac:dyDescent="0.25"/>
  <cols>
    <col min="1" max="1" width="5" style="15" customWidth="1"/>
    <col min="2" max="2" width="30" style="15" customWidth="1"/>
    <col min="3" max="3" width="8" style="15" customWidth="1"/>
    <col min="4" max="4" width="16" style="15" customWidth="1"/>
    <col min="5" max="5" width="10" style="15" customWidth="1"/>
    <col min="6" max="8" width="16" style="15" customWidth="1"/>
    <col min="9" max="9" width="12" style="15" customWidth="1"/>
    <col min="10" max="10" width="20" style="15" customWidth="1"/>
  </cols>
  <sheetData>
    <row r="1" spans="1:12" ht="27.75" customHeight="1" x14ac:dyDescent="0.25">
      <c r="A1" s="7" t="s">
        <v>222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" customHeight="1" x14ac:dyDescent="0.25">
      <c r="A2" s="106" t="s">
        <v>223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4" spans="1:12" ht="15" customHeight="1" x14ac:dyDescent="0.25">
      <c r="A4" s="8" t="s">
        <v>224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36" customHeight="1" x14ac:dyDescent="0.25">
      <c r="A5" s="16" t="s">
        <v>138</v>
      </c>
      <c r="B5" s="16" t="s">
        <v>225</v>
      </c>
      <c r="C5" s="16" t="s">
        <v>226</v>
      </c>
      <c r="D5" s="16" t="s">
        <v>227</v>
      </c>
      <c r="E5" s="16" t="s">
        <v>228</v>
      </c>
      <c r="F5" s="16" t="s">
        <v>229</v>
      </c>
      <c r="G5" s="16" t="s">
        <v>230</v>
      </c>
      <c r="H5" s="16" t="s">
        <v>231</v>
      </c>
      <c r="I5" s="16" t="s">
        <v>232</v>
      </c>
      <c r="J5" s="16" t="s">
        <v>233</v>
      </c>
      <c r="K5" s="16" t="s">
        <v>234</v>
      </c>
      <c r="L5" s="16" t="s">
        <v>235</v>
      </c>
    </row>
    <row r="6" spans="1:12" ht="69" customHeight="1" x14ac:dyDescent="0.25">
      <c r="A6" s="17">
        <v>1</v>
      </c>
      <c r="B6" s="78" t="s">
        <v>236</v>
      </c>
      <c r="C6" s="33">
        <f>COUNTIF('6_Hasil_Klaster'!C3:C17,1)</f>
        <v>1</v>
      </c>
      <c r="D6" s="29">
        <f>AVERAGEIF('6_Hasil_Klaster'!C3:C17,1,'1_Dataset'!C4:C18)</f>
        <v>110.2037</v>
      </c>
      <c r="E6" s="29">
        <f>AVERAGEIF('6_Hasil_Klaster'!C3:C17,1,'1_Dataset'!D4:D18)</f>
        <v>-7.6078999999999999</v>
      </c>
      <c r="F6" s="79">
        <f>AVERAGEIF('6_Hasil_Klaster'!C3:C17,1,'1_Dataset'!E4:E18)</f>
        <v>1250000</v>
      </c>
      <c r="G6" s="80">
        <f>AVERAGEIF('6_Hasil_Klaster'!C3:C17,1,'1_Dataset'!F4:F18)</f>
        <v>4.9000000000000004</v>
      </c>
      <c r="H6" s="81">
        <f>AVERAGEIF('6_Hasil_Klaster'!C3:C17,1,'1_Dataset'!K4:K18)</f>
        <v>18500</v>
      </c>
      <c r="I6" s="79">
        <f>SUMIF('6_Hasil_Klaster'!C3:C17,1,'1_Dataset'!K4:K18)</f>
        <v>18500</v>
      </c>
      <c r="J6" s="82">
        <f>AVERAGEIF('6_Hasil_Klaster'!C3:C17,1,'1_Dataset'!L4:L18)</f>
        <v>0.123</v>
      </c>
      <c r="K6" s="83" t="str">
        <f>IF(1=1,"Peak Season",IF(1=2,"Mid Season","Low Season"))</f>
        <v>Peak Season</v>
      </c>
      <c r="L6" s="84" t="s">
        <v>237</v>
      </c>
    </row>
    <row r="7" spans="1:12" ht="69" customHeight="1" x14ac:dyDescent="0.25">
      <c r="A7" s="85">
        <v>2</v>
      </c>
      <c r="B7" s="86" t="s">
        <v>238</v>
      </c>
      <c r="C7" s="36">
        <f>COUNTIF('6_Hasil_Klaster'!C3:C17,2)</f>
        <v>8</v>
      </c>
      <c r="D7" s="73">
        <f>AVERAGEIF('6_Hasil_Klaster'!C3:C17,2,'1_Dataset'!C4:C18)</f>
        <v>110.3101625</v>
      </c>
      <c r="E7" s="73">
        <f>AVERAGEIF('6_Hasil_Klaster'!C3:C17,2,'1_Dataset'!D4:D18)</f>
        <v>-7.5007750000000009</v>
      </c>
      <c r="F7" s="87">
        <f>AVERAGEIF('6_Hasil_Klaster'!C3:C17,2,'1_Dataset'!E4:E18)</f>
        <v>68125</v>
      </c>
      <c r="G7" s="88">
        <f>AVERAGEIF('6_Hasil_Klaster'!C3:C17,2,'1_Dataset'!F4:F18)</f>
        <v>4.2125000000000004</v>
      </c>
      <c r="H7" s="89">
        <f>AVERAGEIF('6_Hasil_Klaster'!C3:C17,2,'1_Dataset'!K4:K18)</f>
        <v>716.875</v>
      </c>
      <c r="I7" s="87">
        <f>SUMIF('6_Hasil_Klaster'!C3:C17,2,'1_Dataset'!K4:K18)</f>
        <v>5735</v>
      </c>
      <c r="J7" s="90">
        <f>AVERAGEIF('6_Hasil_Klaster'!C3:C17,2,'1_Dataset'!L4:L18)</f>
        <v>0.21987499999999999</v>
      </c>
      <c r="K7" s="91" t="str">
        <f>IF(2=1,"Peak Season",IF(2=2,"Mid Season","Low Season"))</f>
        <v>Mid Season</v>
      </c>
      <c r="L7" s="92" t="s">
        <v>239</v>
      </c>
    </row>
    <row r="8" spans="1:12" ht="59.25" customHeight="1" x14ac:dyDescent="0.25">
      <c r="A8" s="93">
        <v>3</v>
      </c>
      <c r="B8" s="94" t="s">
        <v>240</v>
      </c>
      <c r="C8" s="95">
        <f>COUNTIF('6_Hasil_Klaster'!C3:C17,3)</f>
        <v>6</v>
      </c>
      <c r="D8" s="35">
        <f>AVERAGEIF('6_Hasil_Klaster'!C3:C17,3,'1_Dataset'!C4:C18)</f>
        <v>110.20951666666667</v>
      </c>
      <c r="E8" s="35">
        <f>AVERAGEIF('6_Hasil_Klaster'!C3:C17,3,'1_Dataset'!D4:D18)</f>
        <v>-7.5828999999999995</v>
      </c>
      <c r="F8" s="96">
        <f>AVERAGEIF('6_Hasil_Klaster'!C3:C17,3,'1_Dataset'!E4:E18)</f>
        <v>133666.66666666666</v>
      </c>
      <c r="G8" s="97">
        <f>AVERAGEIF('6_Hasil_Klaster'!C3:C17,3,'1_Dataset'!F4:F18)</f>
        <v>4.2499999999999991</v>
      </c>
      <c r="H8" s="98">
        <f>AVERAGEIF('6_Hasil_Klaster'!C3:C17,3,'1_Dataset'!K4:K18)</f>
        <v>1575</v>
      </c>
      <c r="I8" s="96">
        <f>SUMIF('6_Hasil_Klaster'!C3:C17,3,'1_Dataset'!K4:K18)</f>
        <v>9450</v>
      </c>
      <c r="J8" s="99">
        <f>AVERAGEIF('6_Hasil_Klaster'!C3:C17,3,'1_Dataset'!L4:L18)</f>
        <v>0.13616666666666666</v>
      </c>
      <c r="K8" s="63" t="str">
        <f>IF(3=1,"Peak Season",IF(3=2,"Mid Season","Low Season"))</f>
        <v>Low Season</v>
      </c>
      <c r="L8" s="100" t="s">
        <v>241</v>
      </c>
    </row>
    <row r="12" spans="1:12" ht="15" customHeight="1" x14ac:dyDescent="0.25">
      <c r="A12" s="8" t="s">
        <v>242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31.5" customHeight="1" x14ac:dyDescent="0.25">
      <c r="A13" s="16" t="s">
        <v>34</v>
      </c>
      <c r="B13" s="16" t="s">
        <v>114</v>
      </c>
      <c r="C13" s="16" t="s">
        <v>138</v>
      </c>
      <c r="D13" s="16" t="s">
        <v>243</v>
      </c>
      <c r="E13" s="16" t="s">
        <v>244</v>
      </c>
      <c r="F13" s="16" t="s">
        <v>245</v>
      </c>
      <c r="G13" s="16" t="s">
        <v>246</v>
      </c>
      <c r="H13" s="16" t="s">
        <v>247</v>
      </c>
      <c r="I13" s="16" t="s">
        <v>248</v>
      </c>
      <c r="J13" s="16" t="s">
        <v>249</v>
      </c>
    </row>
    <row r="14" spans="1:12" ht="15" customHeight="1" x14ac:dyDescent="0.25">
      <c r="A14" s="28">
        <f>'1_Dataset'!A4</f>
        <v>1</v>
      </c>
      <c r="B14" s="18" t="str">
        <f>'1_Dataset'!B4</f>
        <v>Candi Borobudur</v>
      </c>
      <c r="C14" s="39">
        <f>'6_Hasil_Klaster'!C5</f>
        <v>3</v>
      </c>
      <c r="D14" s="68">
        <f>'1_Dataset'!E4</f>
        <v>1250000</v>
      </c>
      <c r="E14" s="101">
        <f>'1_Dataset'!L4</f>
        <v>0.123</v>
      </c>
      <c r="F14" s="87">
        <f t="shared" ref="F14:F28" si="0">ROUND(D14*(1+E14),0)</f>
        <v>1403750</v>
      </c>
      <c r="G14" s="87">
        <f t="shared" ref="G14:G28" si="1">ROUND(F14*(1+E14),0)</f>
        <v>1576411</v>
      </c>
      <c r="H14" s="87">
        <f t="shared" ref="H14:H28" si="2">ROUND(G14*(1+E14),0)</f>
        <v>1770310</v>
      </c>
      <c r="I14" s="102">
        <f t="shared" ref="I14:I28" si="3">IFERROR((H14/D14)^(1/3)-1,0)</f>
        <v>0.12300003515368529</v>
      </c>
      <c r="J14" s="71" t="str">
        <f t="shared" ref="J14:J28" si="4">IF(I14&gt;0.3,"Sangat Cepat 🚀",IF(I14&gt;0.15,"Cepat ⬆",IF(I14&gt;0.05,"Moderat →","Lambat ⬇")))</f>
        <v>Moderat →</v>
      </c>
    </row>
    <row r="15" spans="1:12" ht="15" customHeight="1" x14ac:dyDescent="0.25">
      <c r="A15" s="28">
        <f>'1_Dataset'!A5</f>
        <v>2</v>
      </c>
      <c r="B15" s="18" t="str">
        <f>'1_Dataset'!B5</f>
        <v>Punthuk Setumbu</v>
      </c>
      <c r="C15" s="39">
        <f>'6_Hasil_Klaster'!C6</f>
        <v>3</v>
      </c>
      <c r="D15" s="68">
        <f>'1_Dataset'!E5</f>
        <v>185000</v>
      </c>
      <c r="E15" s="101">
        <f>'1_Dataset'!L5</f>
        <v>0.185</v>
      </c>
      <c r="F15" s="87">
        <f t="shared" si="0"/>
        <v>219225</v>
      </c>
      <c r="G15" s="87">
        <f t="shared" si="1"/>
        <v>259782</v>
      </c>
      <c r="H15" s="87">
        <f t="shared" si="2"/>
        <v>307842</v>
      </c>
      <c r="I15" s="102">
        <f t="shared" si="3"/>
        <v>0.18500099362217615</v>
      </c>
      <c r="J15" s="71" t="str">
        <f t="shared" si="4"/>
        <v>Cepat ⬆</v>
      </c>
    </row>
    <row r="16" spans="1:12" ht="15" customHeight="1" x14ac:dyDescent="0.25">
      <c r="A16" s="28">
        <f>'1_Dataset'!A6</f>
        <v>3</v>
      </c>
      <c r="B16" s="18" t="str">
        <f>'1_Dataset'!B6</f>
        <v>Candi Pawon</v>
      </c>
      <c r="C16" s="39">
        <f>'6_Hasil_Klaster'!C7</f>
        <v>2</v>
      </c>
      <c r="D16" s="68">
        <f>'1_Dataset'!E6</f>
        <v>95000</v>
      </c>
      <c r="E16" s="101">
        <f>'1_Dataset'!L6</f>
        <v>8.2000000000000003E-2</v>
      </c>
      <c r="F16" s="87">
        <f t="shared" si="0"/>
        <v>102790</v>
      </c>
      <c r="G16" s="87">
        <f t="shared" si="1"/>
        <v>111219</v>
      </c>
      <c r="H16" s="87">
        <f t="shared" si="2"/>
        <v>120339</v>
      </c>
      <c r="I16" s="102">
        <f t="shared" si="3"/>
        <v>8.2000839306044071E-2</v>
      </c>
      <c r="J16" s="71" t="str">
        <f t="shared" si="4"/>
        <v>Moderat →</v>
      </c>
    </row>
    <row r="17" spans="1:10" ht="15" customHeight="1" x14ac:dyDescent="0.25">
      <c r="A17" s="28">
        <f>'1_Dataset'!A7</f>
        <v>4</v>
      </c>
      <c r="B17" s="18" t="str">
        <f>'1_Dataset'!B7</f>
        <v>Candi Mendut</v>
      </c>
      <c r="C17" s="39">
        <f>'6_Hasil_Klaster'!C8</f>
        <v>2</v>
      </c>
      <c r="D17" s="68">
        <f>'1_Dataset'!E7</f>
        <v>125000</v>
      </c>
      <c r="E17" s="101">
        <f>'1_Dataset'!L7</f>
        <v>9.5000000000000001E-2</v>
      </c>
      <c r="F17" s="87">
        <f t="shared" si="0"/>
        <v>136875</v>
      </c>
      <c r="G17" s="87">
        <f t="shared" si="1"/>
        <v>149878</v>
      </c>
      <c r="H17" s="87">
        <f t="shared" si="2"/>
        <v>164116</v>
      </c>
      <c r="I17" s="102">
        <f t="shared" si="3"/>
        <v>9.4998783732655134E-2</v>
      </c>
      <c r="J17" s="71" t="str">
        <f t="shared" si="4"/>
        <v>Moderat →</v>
      </c>
    </row>
    <row r="18" spans="1:10" ht="15" customHeight="1" x14ac:dyDescent="0.25">
      <c r="A18" s="28">
        <f>'1_Dataset'!A8</f>
        <v>5</v>
      </c>
      <c r="B18" s="18" t="str">
        <f>'1_Dataset'!B8</f>
        <v>Ketep Pass</v>
      </c>
      <c r="C18" s="39">
        <f>'6_Hasil_Klaster'!C9</f>
        <v>2</v>
      </c>
      <c r="D18" s="68">
        <f>'1_Dataset'!E8</f>
        <v>210000</v>
      </c>
      <c r="E18" s="101">
        <f>'1_Dataset'!L8</f>
        <v>0.157</v>
      </c>
      <c r="F18" s="87">
        <f t="shared" si="0"/>
        <v>242970</v>
      </c>
      <c r="G18" s="87">
        <f t="shared" si="1"/>
        <v>281116</v>
      </c>
      <c r="H18" s="87">
        <f t="shared" si="2"/>
        <v>325251</v>
      </c>
      <c r="I18" s="102">
        <f t="shared" si="3"/>
        <v>0.15699935076653704</v>
      </c>
      <c r="J18" s="71" t="str">
        <f t="shared" si="4"/>
        <v>Cepat ⬆</v>
      </c>
    </row>
    <row r="19" spans="1:10" ht="15" customHeight="1" x14ac:dyDescent="0.25">
      <c r="A19" s="28">
        <f>'1_Dataset'!A9</f>
        <v>6</v>
      </c>
      <c r="B19" s="18" t="str">
        <f>'1_Dataset'!B9</f>
        <v>Kopeng</v>
      </c>
      <c r="C19" s="39">
        <f>'6_Hasil_Klaster'!C10</f>
        <v>2</v>
      </c>
      <c r="D19" s="68">
        <f>'1_Dataset'!E9</f>
        <v>98000</v>
      </c>
      <c r="E19" s="101">
        <f>'1_Dataset'!L9</f>
        <v>5.2999999999999999E-2</v>
      </c>
      <c r="F19" s="87">
        <f t="shared" si="0"/>
        <v>103194</v>
      </c>
      <c r="G19" s="87">
        <f t="shared" si="1"/>
        <v>108663</v>
      </c>
      <c r="H19" s="87">
        <f t="shared" si="2"/>
        <v>114422</v>
      </c>
      <c r="I19" s="102">
        <f t="shared" si="3"/>
        <v>5.2998662698979793E-2</v>
      </c>
      <c r="J19" s="71" t="str">
        <f t="shared" si="4"/>
        <v>Moderat →</v>
      </c>
    </row>
    <row r="20" spans="1:10" ht="15" customHeight="1" x14ac:dyDescent="0.25">
      <c r="A20" s="28">
        <f>'1_Dataset'!A10</f>
        <v>7</v>
      </c>
      <c r="B20" s="18" t="str">
        <f>'1_Dataset'!B10</f>
        <v>Air Terjun Kedung Kayang</v>
      </c>
      <c r="C20" s="39">
        <f>'6_Hasil_Klaster'!C11</f>
        <v>3</v>
      </c>
      <c r="D20" s="68">
        <f>'1_Dataset'!E10</f>
        <v>42000</v>
      </c>
      <c r="E20" s="101">
        <f>'1_Dataset'!L10</f>
        <v>0.221</v>
      </c>
      <c r="F20" s="87">
        <f t="shared" si="0"/>
        <v>51282</v>
      </c>
      <c r="G20" s="87">
        <f t="shared" si="1"/>
        <v>62615</v>
      </c>
      <c r="H20" s="87">
        <f t="shared" si="2"/>
        <v>76453</v>
      </c>
      <c r="I20" s="102">
        <f t="shared" si="3"/>
        <v>0.22099835949410784</v>
      </c>
      <c r="J20" s="71" t="str">
        <f t="shared" si="4"/>
        <v>Cepat ⬆</v>
      </c>
    </row>
    <row r="21" spans="1:10" ht="15" customHeight="1" x14ac:dyDescent="0.25">
      <c r="A21" s="28">
        <f>'1_Dataset'!A11</f>
        <v>8</v>
      </c>
      <c r="B21" s="18" t="str">
        <f>'1_Dataset'!B11</f>
        <v>Telaga Bleder</v>
      </c>
      <c r="C21" s="39">
        <f>'6_Hasil_Klaster'!C12</f>
        <v>2</v>
      </c>
      <c r="D21" s="68">
        <f>'1_Dataset'!E11</f>
        <v>35000</v>
      </c>
      <c r="E21" s="101">
        <f>'1_Dataset'!L11</f>
        <v>0.11799999999999999</v>
      </c>
      <c r="F21" s="87">
        <f t="shared" si="0"/>
        <v>39130</v>
      </c>
      <c r="G21" s="87">
        <f t="shared" si="1"/>
        <v>43747</v>
      </c>
      <c r="H21" s="87">
        <f t="shared" si="2"/>
        <v>48909</v>
      </c>
      <c r="I21" s="102">
        <f t="shared" si="3"/>
        <v>0.11799599120855886</v>
      </c>
      <c r="J21" s="71" t="str">
        <f t="shared" si="4"/>
        <v>Moderat →</v>
      </c>
    </row>
    <row r="22" spans="1:10" ht="15" customHeight="1" x14ac:dyDescent="0.25">
      <c r="A22" s="28">
        <f>'1_Dataset'!A12</f>
        <v>9</v>
      </c>
      <c r="B22" s="18" t="str">
        <f>'1_Dataset'!B12</f>
        <v>Bukit Rhema (Gereja Ayam)</v>
      </c>
      <c r="C22" s="39">
        <f>'6_Hasil_Klaster'!C13</f>
        <v>3</v>
      </c>
      <c r="D22" s="68">
        <f>'1_Dataset'!E12</f>
        <v>165000</v>
      </c>
      <c r="E22" s="101">
        <f>'1_Dataset'!L12</f>
        <v>0.35199999999999998</v>
      </c>
      <c r="F22" s="87">
        <f t="shared" si="0"/>
        <v>223080</v>
      </c>
      <c r="G22" s="87">
        <f t="shared" si="1"/>
        <v>301604</v>
      </c>
      <c r="H22" s="87">
        <f t="shared" si="2"/>
        <v>407769</v>
      </c>
      <c r="I22" s="102">
        <f t="shared" si="3"/>
        <v>0.35200019416175032</v>
      </c>
      <c r="J22" s="71" t="str">
        <f t="shared" si="4"/>
        <v>Sangat Cepat 🚀</v>
      </c>
    </row>
    <row r="23" spans="1:10" ht="15" customHeight="1" x14ac:dyDescent="0.25">
      <c r="A23" s="28">
        <f>'1_Dataset'!A13</f>
        <v>10</v>
      </c>
      <c r="B23" s="18" t="str">
        <f>'1_Dataset'!B13</f>
        <v>Sawah Sukomakmur</v>
      </c>
      <c r="C23" s="39">
        <f>'6_Hasil_Klaster'!C14</f>
        <v>3</v>
      </c>
      <c r="D23" s="68">
        <f>'1_Dataset'!E13</f>
        <v>28000</v>
      </c>
      <c r="E23" s="101">
        <f>'1_Dataset'!L13</f>
        <v>0.28399999999999997</v>
      </c>
      <c r="F23" s="87">
        <f t="shared" si="0"/>
        <v>35952</v>
      </c>
      <c r="G23" s="87">
        <f t="shared" si="1"/>
        <v>46162</v>
      </c>
      <c r="H23" s="87">
        <f t="shared" si="2"/>
        <v>59272</v>
      </c>
      <c r="I23" s="102">
        <f t="shared" si="3"/>
        <v>0.28399653026682925</v>
      </c>
      <c r="J23" s="71" t="str">
        <f t="shared" si="4"/>
        <v>Cepat ⬆</v>
      </c>
    </row>
    <row r="24" spans="1:10" ht="15" customHeight="1" x14ac:dyDescent="0.25">
      <c r="A24" s="28">
        <f>'1_Dataset'!A14</f>
        <v>11</v>
      </c>
      <c r="B24" s="18" t="str">
        <f>'1_Dataset'!B14</f>
        <v>Museum Karmawibhangga</v>
      </c>
      <c r="C24" s="39">
        <f>'6_Hasil_Klaster'!C15</f>
        <v>2</v>
      </c>
      <c r="D24" s="68">
        <f>'1_Dataset'!E14</f>
        <v>87000</v>
      </c>
      <c r="E24" s="101">
        <f>'1_Dataset'!L14</f>
        <v>6.0999999999999999E-2</v>
      </c>
      <c r="F24" s="87">
        <f t="shared" si="0"/>
        <v>92307</v>
      </c>
      <c r="G24" s="87">
        <f t="shared" si="1"/>
        <v>97938</v>
      </c>
      <c r="H24" s="87">
        <f t="shared" si="2"/>
        <v>103912</v>
      </c>
      <c r="I24" s="102">
        <f t="shared" si="3"/>
        <v>6.1000243872597171E-2</v>
      </c>
      <c r="J24" s="71" t="str">
        <f t="shared" si="4"/>
        <v>Moderat →</v>
      </c>
    </row>
    <row r="25" spans="1:10" ht="15" customHeight="1" x14ac:dyDescent="0.25">
      <c r="A25" s="28">
        <f>'1_Dataset'!A15</f>
        <v>12</v>
      </c>
      <c r="B25" s="18" t="str">
        <f>'1_Dataset'!B15</f>
        <v>Taman Kyai Langgeng</v>
      </c>
      <c r="C25" s="39">
        <f>'6_Hasil_Klaster'!C16</f>
        <v>2</v>
      </c>
      <c r="D25" s="68">
        <f>'1_Dataset'!E15</f>
        <v>145000</v>
      </c>
      <c r="E25" s="101">
        <f>'1_Dataset'!L15</f>
        <v>4.2000000000000003E-2</v>
      </c>
      <c r="F25" s="87">
        <f t="shared" si="0"/>
        <v>151090</v>
      </c>
      <c r="G25" s="87">
        <f t="shared" si="1"/>
        <v>157436</v>
      </c>
      <c r="H25" s="87">
        <f t="shared" si="2"/>
        <v>164048</v>
      </c>
      <c r="I25" s="102">
        <f t="shared" si="3"/>
        <v>4.1999824775084127E-2</v>
      </c>
      <c r="J25" s="71" t="str">
        <f t="shared" si="4"/>
        <v>Lambat ⬇</v>
      </c>
    </row>
    <row r="26" spans="1:10" ht="15" customHeight="1" x14ac:dyDescent="0.25">
      <c r="A26" s="28">
        <f>'1_Dataset'!A16</f>
        <v>13</v>
      </c>
      <c r="B26" s="18" t="str">
        <f>'1_Dataset'!B16</f>
        <v>Gunung Andong</v>
      </c>
      <c r="C26" s="39">
        <f>'6_Hasil_Klaster'!C17</f>
        <v>2</v>
      </c>
      <c r="D26" s="68">
        <f>'1_Dataset'!E16</f>
        <v>55000</v>
      </c>
      <c r="E26" s="101">
        <f>'1_Dataset'!L16</f>
        <v>0.316</v>
      </c>
      <c r="F26" s="87">
        <f t="shared" si="0"/>
        <v>72380</v>
      </c>
      <c r="G26" s="87">
        <f t="shared" si="1"/>
        <v>95252</v>
      </c>
      <c r="H26" s="87">
        <f t="shared" si="2"/>
        <v>125352</v>
      </c>
      <c r="I26" s="102">
        <f t="shared" si="3"/>
        <v>0.31600091938435515</v>
      </c>
      <c r="J26" s="71" t="str">
        <f t="shared" si="4"/>
        <v>Sangat Cepat 🚀</v>
      </c>
    </row>
    <row r="27" spans="1:10" ht="15" customHeight="1" x14ac:dyDescent="0.25">
      <c r="A27" s="28">
        <f>'1_Dataset'!A17</f>
        <v>14</v>
      </c>
      <c r="B27" s="18" t="str">
        <f>'1_Dataset'!B17</f>
        <v>Umbul Songo</v>
      </c>
      <c r="C27" s="39">
        <f>'6_Hasil_Klaster'!C18</f>
        <v>0</v>
      </c>
      <c r="D27" s="68">
        <f>'1_Dataset'!E17</f>
        <v>32000</v>
      </c>
      <c r="E27" s="101">
        <f>'1_Dataset'!L17</f>
        <v>0.19800000000000001</v>
      </c>
      <c r="F27" s="87">
        <f t="shared" si="0"/>
        <v>38336</v>
      </c>
      <c r="G27" s="87">
        <f t="shared" si="1"/>
        <v>45927</v>
      </c>
      <c r="H27" s="87">
        <f t="shared" si="2"/>
        <v>55021</v>
      </c>
      <c r="I27" s="102">
        <f t="shared" si="3"/>
        <v>0.19800739913471954</v>
      </c>
      <c r="J27" s="71" t="str">
        <f t="shared" si="4"/>
        <v>Cepat ⬆</v>
      </c>
    </row>
    <row r="28" spans="1:10" ht="15" customHeight="1" x14ac:dyDescent="0.25">
      <c r="A28" s="28">
        <f>'1_Dataset'!A18</f>
        <v>15</v>
      </c>
      <c r="B28" s="18" t="str">
        <f>'1_Dataset'!B18</f>
        <v>Puthuk Mongkrong</v>
      </c>
      <c r="C28" s="39">
        <f>'6_Hasil_Klaster'!C19</f>
        <v>0</v>
      </c>
      <c r="D28" s="68">
        <f>'1_Dataset'!E18</f>
        <v>45000</v>
      </c>
      <c r="E28" s="101">
        <f>'1_Dataset'!L18</f>
        <v>0.41199999999999998</v>
      </c>
      <c r="F28" s="87">
        <f t="shared" si="0"/>
        <v>63540</v>
      </c>
      <c r="G28" s="87">
        <f t="shared" si="1"/>
        <v>89718</v>
      </c>
      <c r="H28" s="87">
        <f t="shared" si="2"/>
        <v>126682</v>
      </c>
      <c r="I28" s="102">
        <f t="shared" si="3"/>
        <v>0.41199816551862556</v>
      </c>
      <c r="J28" s="71" t="str">
        <f t="shared" si="4"/>
        <v>Sangat Cepat 🚀</v>
      </c>
    </row>
  </sheetData>
  <mergeCells count="4">
    <mergeCell ref="A1:L1"/>
    <mergeCell ref="A2:L2"/>
    <mergeCell ref="A4:L4"/>
    <mergeCell ref="A12:L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0_Cover</vt:lpstr>
      <vt:lpstr>1_Dataset</vt:lpstr>
      <vt:lpstr>2_Normalisasi</vt:lpstr>
      <vt:lpstr>3_KMeans++_Init</vt:lpstr>
      <vt:lpstr>4_Iterasi_KMeans++</vt:lpstr>
      <vt:lpstr>5_Konvergensi</vt:lpstr>
      <vt:lpstr>6_Hasil_Klaster</vt:lpstr>
      <vt:lpstr>7_Evaluasi_Metrik</vt:lpstr>
      <vt:lpstr>8_Spatio_Temporal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2026-05-09T02:23:03Z</dcterms:created>
  <dcterms:modified xsi:type="dcterms:W3CDTF">2026-05-13T03:01:50Z</dcterms:modified>
  <dc:language>en-US</dc:language>
</cp:coreProperties>
</file>